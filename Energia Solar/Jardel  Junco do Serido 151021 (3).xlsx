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cinei\OneDrive\Área de Trabalho\orçamentos rapidos\andre rocha\"/>
    </mc:Choice>
  </mc:AlternateContent>
  <xr:revisionPtr revIDLastSave="0" documentId="13_ncr:1_{807F4A47-36F6-4275-8AC5-76A1AA7AC292}" xr6:coauthVersionLast="47" xr6:coauthVersionMax="47" xr10:uidLastSave="{00000000-0000-0000-0000-000000000000}"/>
  <bookViews>
    <workbookView xWindow="0" yWindow="0" windowWidth="20490" windowHeight="10920" activeTab="1" xr2:uid="{00000000-000D-0000-FFFF-FFFF00000000}"/>
  </bookViews>
  <sheets>
    <sheet name="Proposta Comercial" sheetId="1" r:id="rId1"/>
    <sheet name="Dados" sheetId="2" r:id="rId2"/>
    <sheet name="Planilha1" sheetId="4" r:id="rId3"/>
    <sheet name="Mala Direta" sheetId="3" r:id="rId4"/>
  </sheets>
  <externalReferences>
    <externalReference r:id="rId5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2" l="1"/>
  <c r="B26" i="2" l="1"/>
  <c r="B15" i="2"/>
  <c r="B29" i="2" s="1"/>
  <c r="B30" i="2" l="1"/>
  <c r="B28" i="2"/>
  <c r="B27" i="2"/>
  <c r="B25" i="2"/>
  <c r="B24" i="2"/>
  <c r="L16" i="2"/>
  <c r="B32" i="2" l="1"/>
  <c r="F2" i="3"/>
  <c r="J15" i="2"/>
  <c r="D2" i="3"/>
  <c r="E2" i="3"/>
  <c r="C2" i="3"/>
  <c r="B2" i="3"/>
  <c r="P5" i="2"/>
  <c r="K2" i="3" s="1"/>
  <c r="A2" i="3" l="1"/>
  <c r="E79" i="1"/>
  <c r="A39" i="2" l="1"/>
  <c r="B39" i="2" s="1"/>
  <c r="B43" i="2" s="1"/>
  <c r="I122" i="1" s="1"/>
  <c r="B41" i="2" l="1"/>
  <c r="I128" i="1" s="1"/>
  <c r="L17" i="2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G16" i="2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E9" i="2"/>
  <c r="F9" i="2"/>
  <c r="G9" i="2"/>
  <c r="H9" i="2"/>
  <c r="I9" i="2"/>
  <c r="J9" i="2"/>
  <c r="K9" i="2"/>
  <c r="L9" i="2"/>
  <c r="M9" i="2"/>
  <c r="N9" i="2"/>
  <c r="O9" i="2"/>
  <c r="D9" i="2"/>
  <c r="P8" i="2"/>
  <c r="P9" i="2" l="1"/>
  <c r="E12" i="2"/>
  <c r="N12" i="2"/>
  <c r="J12" i="2"/>
  <c r="F12" i="2"/>
  <c r="I12" i="2"/>
  <c r="D12" i="2"/>
  <c r="L12" i="2"/>
  <c r="G12" i="2"/>
  <c r="H12" i="2"/>
  <c r="M12" i="2"/>
  <c r="O12" i="2"/>
  <c r="K12" i="2"/>
  <c r="N15" i="2"/>
  <c r="K91" i="1"/>
  <c r="K83" i="1"/>
  <c r="C97" i="1"/>
  <c r="B137" i="1"/>
  <c r="B136" i="1"/>
  <c r="Q12" i="2" l="1"/>
  <c r="C15" i="2" s="1"/>
  <c r="G122" i="1"/>
  <c r="P12" i="2"/>
  <c r="P15" i="2"/>
  <c r="B91" i="2" s="1"/>
  <c r="C32" i="2" l="1"/>
  <c r="C36" i="2"/>
  <c r="C40" i="2"/>
  <c r="C21" i="2"/>
  <c r="C25" i="2"/>
  <c r="C29" i="2"/>
  <c r="C16" i="2"/>
  <c r="C39" i="2"/>
  <c r="C24" i="2"/>
  <c r="C33" i="2"/>
  <c r="C37" i="2"/>
  <c r="C18" i="2"/>
  <c r="C22" i="2"/>
  <c r="C26" i="2"/>
  <c r="C30" i="2"/>
  <c r="C35" i="2"/>
  <c r="C20" i="2"/>
  <c r="C17" i="2"/>
  <c r="C34" i="2"/>
  <c r="C38" i="2"/>
  <c r="C19" i="2"/>
  <c r="C23" i="2"/>
  <c r="C27" i="2"/>
  <c r="C31" i="2"/>
  <c r="C28" i="2"/>
  <c r="F18" i="2"/>
  <c r="H18" i="2" s="1"/>
  <c r="N18" i="2" s="1"/>
  <c r="F22" i="2"/>
  <c r="H22" i="2" s="1"/>
  <c r="N22" i="2" s="1"/>
  <c r="F26" i="2"/>
  <c r="H26" i="2" s="1"/>
  <c r="N26" i="2" s="1"/>
  <c r="F30" i="2"/>
  <c r="H30" i="2" s="1"/>
  <c r="N30" i="2" s="1"/>
  <c r="F34" i="2"/>
  <c r="H34" i="2" s="1"/>
  <c r="N34" i="2" s="1"/>
  <c r="F38" i="2"/>
  <c r="H38" i="2" s="1"/>
  <c r="N38" i="2" s="1"/>
  <c r="F21" i="2"/>
  <c r="H21" i="2" s="1"/>
  <c r="N21" i="2" s="1"/>
  <c r="F37" i="2"/>
  <c r="H37" i="2" s="1"/>
  <c r="N37" i="2" s="1"/>
  <c r="F19" i="2"/>
  <c r="H19" i="2" s="1"/>
  <c r="N19" i="2" s="1"/>
  <c r="F23" i="2"/>
  <c r="H23" i="2" s="1"/>
  <c r="N23" i="2" s="1"/>
  <c r="F27" i="2"/>
  <c r="H27" i="2" s="1"/>
  <c r="N27" i="2" s="1"/>
  <c r="F31" i="2"/>
  <c r="H31" i="2" s="1"/>
  <c r="N31" i="2" s="1"/>
  <c r="F35" i="2"/>
  <c r="H35" i="2" s="1"/>
  <c r="N35" i="2" s="1"/>
  <c r="F39" i="2"/>
  <c r="H39" i="2" s="1"/>
  <c r="N39" i="2" s="1"/>
  <c r="F40" i="2"/>
  <c r="H40" i="2" s="1"/>
  <c r="N40" i="2" s="1"/>
  <c r="F25" i="2"/>
  <c r="H25" i="2" s="1"/>
  <c r="N25" i="2" s="1"/>
  <c r="F33" i="2"/>
  <c r="H33" i="2" s="1"/>
  <c r="N33" i="2" s="1"/>
  <c r="G124" i="1"/>
  <c r="F126" i="1" s="1"/>
  <c r="F20" i="2"/>
  <c r="H20" i="2" s="1"/>
  <c r="N20" i="2" s="1"/>
  <c r="F24" i="2"/>
  <c r="H24" i="2" s="1"/>
  <c r="N24" i="2" s="1"/>
  <c r="F28" i="2"/>
  <c r="H28" i="2" s="1"/>
  <c r="N28" i="2" s="1"/>
  <c r="F32" i="2"/>
  <c r="H32" i="2" s="1"/>
  <c r="N32" i="2" s="1"/>
  <c r="F36" i="2"/>
  <c r="H36" i="2" s="1"/>
  <c r="N36" i="2" s="1"/>
  <c r="F17" i="2"/>
  <c r="H17" i="2" s="1"/>
  <c r="N17" i="2" s="1"/>
  <c r="F29" i="2"/>
  <c r="H29" i="2" s="1"/>
  <c r="N29" i="2" s="1"/>
  <c r="F16" i="2"/>
  <c r="H16" i="2" s="1"/>
  <c r="N16" i="2" s="1"/>
  <c r="N44" i="2" l="1"/>
  <c r="N42" i="2"/>
  <c r="I2" i="3"/>
  <c r="H2" i="3"/>
  <c r="D130" i="1"/>
  <c r="P16" i="2"/>
  <c r="P17" i="2" l="1"/>
  <c r="C91" i="2"/>
  <c r="P18" i="2" l="1"/>
  <c r="D91" i="2"/>
  <c r="P19" i="2" l="1"/>
  <c r="E91" i="2"/>
  <c r="S19" i="2" l="1"/>
  <c r="F91" i="2"/>
  <c r="P20" i="2"/>
  <c r="P21" i="2" l="1"/>
  <c r="G92" i="2"/>
  <c r="J2" i="3"/>
  <c r="F132" i="1"/>
  <c r="P22" i="2" l="1"/>
  <c r="H92" i="2"/>
  <c r="P23" i="2" l="1"/>
  <c r="I92" i="2"/>
  <c r="P24" i="2" l="1"/>
  <c r="J92" i="2"/>
  <c r="P25" i="2" l="1"/>
  <c r="K92" i="2"/>
  <c r="P26" i="2" l="1"/>
  <c r="L92" i="2"/>
  <c r="P27" i="2" l="1"/>
  <c r="M92" i="2"/>
  <c r="P28" i="2" l="1"/>
  <c r="N92" i="2"/>
  <c r="P29" i="2" l="1"/>
  <c r="O92" i="2"/>
  <c r="P30" i="2" l="1"/>
  <c r="P92" i="2"/>
  <c r="P31" i="2" l="1"/>
  <c r="Q92" i="2"/>
  <c r="P32" i="2" l="1"/>
  <c r="R92" i="2"/>
  <c r="P33" i="2" l="1"/>
  <c r="S92" i="2"/>
  <c r="P34" i="2" l="1"/>
  <c r="T92" i="2"/>
  <c r="P35" i="2" l="1"/>
  <c r="U92" i="2"/>
  <c r="P36" i="2" l="1"/>
  <c r="V92" i="2"/>
  <c r="P37" i="2" l="1"/>
  <c r="W92" i="2"/>
  <c r="P38" i="2" l="1"/>
  <c r="X92" i="2"/>
  <c r="P39" i="2" l="1"/>
  <c r="Y92" i="2"/>
  <c r="P40" i="2" l="1"/>
  <c r="Z92" i="2"/>
  <c r="F128" i="1" l="1"/>
  <c r="AA9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Gutemberg Nóbrega</author>
  </authors>
  <commentList>
    <comment ref="S19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=(último valor negativo - 1) / valor anual seguinte + o numeral do ano referenta ao último valor negativo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<sst xmlns="http://schemas.openxmlformats.org/spreadsheetml/2006/main" count="668" uniqueCount="382">
  <si>
    <t>______________________________________</t>
  </si>
  <si>
    <t>AC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</si>
  <si>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</si>
  <si>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</si>
  <si>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</si>
  <si>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</si>
  <si>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</si>
  <si>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</si>
  <si>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</si>
  <si>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</si>
  <si>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</si>
  <si>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UF</t>
  </si>
  <si>
    <t>LOGRADOURO:</t>
  </si>
  <si>
    <t>BAIRRO:</t>
  </si>
  <si>
    <t>CPF/CNPJ:</t>
  </si>
  <si>
    <t>CIDADE:</t>
  </si>
  <si>
    <t>UF:</t>
  </si>
  <si>
    <t>CEP:</t>
  </si>
  <si>
    <t>NOME/RAZÃO SOCIAL:</t>
  </si>
  <si>
    <t>FONE:</t>
  </si>
  <si>
    <t>E-MAIL:</t>
  </si>
  <si>
    <t>COORD.:</t>
  </si>
  <si>
    <t>CONCESSIONÁRIA:</t>
  </si>
  <si>
    <t>N° DA UNIDADE:</t>
  </si>
  <si>
    <t>SOLVE ENERGY - Soluções Energéticas</t>
  </si>
  <si>
    <t>CNPJ: 40.123.832/0001-10</t>
  </si>
  <si>
    <t>CLASSE DE ATENDIMENTO:</t>
  </si>
  <si>
    <t>FORNECIMENTO:</t>
  </si>
  <si>
    <t>CONSUMO MÉDIO ANUAL (kWh):</t>
  </si>
  <si>
    <t>TARIFA:</t>
  </si>
  <si>
    <t>FORNECIMENTO</t>
  </si>
  <si>
    <t>MONOFÁSICO</t>
  </si>
  <si>
    <t>BIFÁSICO</t>
  </si>
  <si>
    <t>TRIFÁSICO</t>
  </si>
  <si>
    <t>PRODUÇÃO DESEJADA (kWh):</t>
  </si>
  <si>
    <t>ATENDIMENTO</t>
  </si>
  <si>
    <t>RESIDENCIAL</t>
  </si>
  <si>
    <t>COMERCIAL</t>
  </si>
  <si>
    <t>INDUSTRIAL</t>
  </si>
  <si>
    <t>PODER PÚBLICO</t>
  </si>
  <si>
    <t>SERVIÇO PÚBLICO</t>
  </si>
  <si>
    <t>RURAL</t>
  </si>
  <si>
    <t>POTÊNCIA TOTAL EM kWp:</t>
  </si>
  <si>
    <t>ESTRUTURAS</t>
  </si>
  <si>
    <t>INVERSOR(ES)</t>
  </si>
  <si>
    <t>MÓDULOS / PAINEIS</t>
  </si>
  <si>
    <t>MARCA:</t>
  </si>
  <si>
    <t>MODELO:</t>
  </si>
  <si>
    <t>QUANTIDADE:</t>
  </si>
  <si>
    <t>GARANTIA EM ANOS:</t>
  </si>
  <si>
    <t>POTÊNCIA EM (W):</t>
  </si>
  <si>
    <t>POTÊNCIA EM kW:</t>
  </si>
  <si>
    <t>RENO</t>
  </si>
  <si>
    <t>DIMENSIONAMENTO CONFORME DADOS DO SWERA/NASA/INPE</t>
  </si>
  <si>
    <t>STRINGBOX CC:</t>
  </si>
  <si>
    <t>STRINGBOX CA:</t>
  </si>
  <si>
    <t>ART SIGN</t>
  </si>
  <si>
    <t>FIBROCIMENTO</t>
  </si>
  <si>
    <t>VALOR INVESTIDO:</t>
  </si>
  <si>
    <t>CUSTO TOTAL DO INVESTIMENTO</t>
  </si>
  <si>
    <t>** Valor destinado a elaboração do projeto elétrico, elaboração do Parecer de Acesso junto à Concessionária e serviço de instalação do sistema fotovoltaico.</t>
  </si>
  <si>
    <t>* Prazo para a instalação do sistema: até 15 dias após a chegada do equipamento.</t>
  </si>
  <si>
    <t>ANÁLISE DA VIABILIDADE FINANCEIRA</t>
  </si>
  <si>
    <t>ESTIMATIVA DE GERAÇÃO MENSAL EM (kWh) NO 1° ANO:</t>
  </si>
  <si>
    <t>ESTIMATIVA DE GERAÇÃO ANUAL EM (kWh) NO 1° ANO:</t>
  </si>
  <si>
    <t>ESTIMATIVA DE ECONOMIA ANUAL NO 1° ANO:</t>
  </si>
  <si>
    <t>ESTIMATIVA DE ECONOMIA EM 25 ANOS:</t>
  </si>
  <si>
    <t>TIR</t>
  </si>
  <si>
    <t>TMA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</si>
  <si>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</si>
  <si>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</si>
  <si>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</si>
  <si>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</si>
  <si>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</si>
  <si>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</si>
  <si>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</si>
  <si>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</si>
  <si>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</si>
  <si>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</si>
  <si>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</si>
  <si>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</si>
  <si>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</t>
  </si>
  <si>
    <t>CONSUMO MENSAL EM kWh</t>
  </si>
  <si>
    <t>IRRADIAÇÃO MÉDIA GLOBAL ANUAL EM (kWh/m²/dia)</t>
  </si>
  <si>
    <t>ESTIMATIVA DE GERAÇÃO MÉDIA MENSAL EM kWh</t>
  </si>
  <si>
    <t>POTÊNCIA DOS MÓDULOS</t>
  </si>
  <si>
    <t>QUANTIDADE</t>
  </si>
  <si>
    <t>%</t>
  </si>
  <si>
    <t>ANO</t>
  </si>
  <si>
    <t>kWh</t>
  </si>
  <si>
    <t>R$</t>
  </si>
  <si>
    <t>REEMBOLSO</t>
  </si>
  <si>
    <t>CAPEX</t>
  </si>
  <si>
    <t>OPEX</t>
  </si>
  <si>
    <t>ANUAL</t>
  </si>
  <si>
    <t>ACUMULADO</t>
  </si>
  <si>
    <t>-</t>
  </si>
  <si>
    <t>ESTIMATIVA DE RETORNO FINANCEIRO</t>
  </si>
  <si>
    <t>SOMA</t>
  </si>
  <si>
    <t>PAYBACK EM ANOS:</t>
  </si>
  <si>
    <t>SUSTENTABILIDADE</t>
  </si>
  <si>
    <t>1 ton</t>
  </si>
  <si>
    <t>CO2</t>
  </si>
  <si>
    <t>ÁRVORES</t>
  </si>
  <si>
    <t>CONSUMO kWh</t>
  </si>
  <si>
    <t>EMISSÃO CO2</t>
  </si>
  <si>
    <t>QTDE DE ÁRVORES EM:</t>
  </si>
  <si>
    <t>25 ANOS</t>
  </si>
  <si>
    <t>TONELADAS DE CO2</t>
  </si>
  <si>
    <t>Todos os equipamentos possuem certificação e registro no INMETRO.</t>
  </si>
  <si>
    <t>PORTA DO MAR E HZALHO</t>
  </si>
  <si>
    <t>12.940.821/0001-97</t>
  </si>
  <si>
    <t>RUA CARDOSO VIEIRA</t>
  </si>
  <si>
    <t>CENTRO</t>
  </si>
  <si>
    <t>CAMPINA GRANDE</t>
  </si>
  <si>
    <t>58400-097</t>
  </si>
  <si>
    <t>(83) 3331-2117</t>
  </si>
  <si>
    <t>hzalho@hotmail.com</t>
  </si>
  <si>
    <t>ENERGISA BORBOREMA</t>
  </si>
  <si>
    <t>4/116435-9</t>
  </si>
  <si>
    <t>-7.217802</t>
  </si>
  <si>
    <t>-35.886420</t>
  </si>
  <si>
    <t>RENO 10k PLUS</t>
  </si>
  <si>
    <t>2/2</t>
  </si>
  <si>
    <t>RENO-405P</t>
  </si>
  <si>
    <t>Campina Grande - PB, 05 de fevereiro de 2021.</t>
  </si>
  <si>
    <t>PROPOSTA N° PB0121S052T</t>
  </si>
  <si>
    <t xml:space="preserve">                   Temos a satisfação de apresentar a Vossa Senhoria e para vossa análise, nossa proposta técnica comercial para a aquisição e instalação de um Sistema Solar fotovoltaico conectado à rede de distribuição da concessionária de energia. Nosso compromisso é de fornecer equipamentos certificados pelo INMETRO, promover a sustentabilidade colaborando com a redução de emissão de CO2 e de agregar valor ao vosso imóvel.</t>
  </si>
  <si>
    <t>POTÊNCIA DO SISTEMA</t>
  </si>
  <si>
    <t>kWp</t>
  </si>
  <si>
    <t>kW</t>
  </si>
  <si>
    <t>POT. INVERSOR</t>
  </si>
  <si>
    <t>payback</t>
  </si>
  <si>
    <t>Potência do Sistema</t>
  </si>
  <si>
    <t>Qtd Módulos</t>
  </si>
  <si>
    <t>Pot Módulos</t>
  </si>
  <si>
    <t>Qtd Inversor</t>
  </si>
  <si>
    <t>Pot Inversor</t>
  </si>
  <si>
    <t>VPL</t>
  </si>
  <si>
    <t>QTDE INVERSOR</t>
  </si>
  <si>
    <t>CAPEX em R$</t>
  </si>
  <si>
    <t>Consumo</t>
  </si>
  <si>
    <t>Capex - extenso</t>
  </si>
  <si>
    <t>São Sebastião do Umbuzeiro</t>
  </si>
  <si>
    <t>Zabelê</t>
  </si>
  <si>
    <t>São João do Tigre</t>
  </si>
  <si>
    <t>Monteiro</t>
  </si>
  <si>
    <t>Camalaú</t>
  </si>
  <si>
    <t>Congo</t>
  </si>
  <si>
    <t>Barra de São Miguel</t>
  </si>
  <si>
    <t>São José de Princesa</t>
  </si>
  <si>
    <t>Manaúra</t>
  </si>
  <si>
    <t>Princesa Isabel</t>
  </si>
  <si>
    <t>Prata</t>
  </si>
  <si>
    <t>Sumé</t>
  </si>
  <si>
    <t>Caraúbas</t>
  </si>
  <si>
    <t>Riacho de Santo Antônio</t>
  </si>
  <si>
    <t>Alcantil</t>
  </si>
  <si>
    <t>Santa Cecúlia</t>
  </si>
  <si>
    <t>Umbuzeiro</t>
  </si>
  <si>
    <t>Conceição</t>
  </si>
  <si>
    <t>Santa Inês</t>
  </si>
  <si>
    <t>Santana de Mangueira</t>
  </si>
  <si>
    <t>Tavares</t>
  </si>
  <si>
    <t>Ouro Velho</t>
  </si>
  <si>
    <t>Amparo</t>
  </si>
  <si>
    <t>Coxixola</t>
  </si>
  <si>
    <t>São Domingos do Cariri</t>
  </si>
  <si>
    <t>Gado Bravo</t>
  </si>
  <si>
    <t>Natuba</t>
  </si>
  <si>
    <t>-7.48</t>
  </si>
  <si>
    <t>Ibiara</t>
  </si>
  <si>
    <t>Curral Velho</t>
  </si>
  <si>
    <t>Nova Olinda</t>
  </si>
  <si>
    <t>Juru</t>
  </si>
  <si>
    <t>Ãgua Branca</t>
  </si>
  <si>
    <t>Serra Branca</t>
  </si>
  <si>
    <t>Cabaceiras</t>
  </si>
  <si>
    <t>Boqueirão</t>
  </si>
  <si>
    <t>Barra de Santana</t>
  </si>
  <si>
    <t>Aroeiras</t>
  </si>
  <si>
    <t>Caaporã</t>
  </si>
  <si>
    <t>Pitimbu</t>
  </si>
  <si>
    <t>Boa Ventura</t>
  </si>
  <si>
    <t>Diamante</t>
  </si>
  <si>
    <t>Pedra Branca</t>
  </si>
  <si>
    <t>Santana dos Garrotes</t>
  </si>
  <si>
    <t>Imaculada</t>
  </si>
  <si>
    <t>Livramento</t>
  </si>
  <si>
    <t>São José dos Cordeiros</t>
  </si>
  <si>
    <t>São João do Cariri</t>
  </si>
  <si>
    <t>-7.42</t>
  </si>
  <si>
    <t>Caturité</t>
  </si>
  <si>
    <t>Queimadas</t>
  </si>
  <si>
    <t>Fagundes</t>
  </si>
  <si>
    <t>Itatuba</t>
  </si>
  <si>
    <t>Salgado de São Félix</t>
  </si>
  <si>
    <t>Juripiranga</t>
  </si>
  <si>
    <t>Pedras de Fogo</t>
  </si>
  <si>
    <t>Alhandra</t>
  </si>
  <si>
    <t>Bonito de Santa Fé</t>
  </si>
  <si>
    <t>São José de Caiana</t>
  </si>
  <si>
    <t>Itaporanga</t>
  </si>
  <si>
    <t>Mãe d'Água</t>
  </si>
  <si>
    <t>Maturéia</t>
  </si>
  <si>
    <t>Desterro</t>
  </si>
  <si>
    <t>Parari</t>
  </si>
  <si>
    <t>Boa Vista</t>
  </si>
  <si>
    <t>Riachão do Bacamarte</t>
  </si>
  <si>
    <t>Ingá</t>
  </si>
  <si>
    <t>Mogeiro</t>
  </si>
  <si>
    <t>Itabaiana</t>
  </si>
  <si>
    <t>Pilar</t>
  </si>
  <si>
    <t>Conde</t>
  </si>
  <si>
    <t>Monte Horebe</t>
  </si>
  <si>
    <t>Serra Grande</t>
  </si>
  <si>
    <t>Igaracy</t>
  </si>
  <si>
    <t>Piancó</t>
  </si>
  <si>
    <t>Olho d'Água</t>
  </si>
  <si>
    <t>São José do Bonfim</t>
  </si>
  <si>
    <t>Teixeira</t>
  </si>
  <si>
    <t>Cacimbas</t>
  </si>
  <si>
    <t>Taperoá</t>
  </si>
  <si>
    <t>Santo André</t>
  </si>
  <si>
    <t>Gurjão</t>
  </si>
  <si>
    <t>Lagoa Seca</t>
  </si>
  <si>
    <t>Campina Grande</t>
  </si>
  <si>
    <t>Massaranduba</t>
  </si>
  <si>
    <t>Serra Redonda</t>
  </si>
  <si>
    <t>Juarez Távora</t>
  </si>
  <si>
    <t>São José dos Ramos</t>
  </si>
  <si>
    <t>Riachão do Poço</t>
  </si>
  <si>
    <t>São Miguel de Taipu</t>
  </si>
  <si>
    <t>Santa Rita</t>
  </si>
  <si>
    <t>São José de Piranhas</t>
  </si>
  <si>
    <t>Aguiar</t>
  </si>
  <si>
    <t>Emas</t>
  </si>
  <si>
    <t>Catingueira</t>
  </si>
  <si>
    <t>Santa Teresinha</t>
  </si>
  <si>
    <t>Cacimba de Areia</t>
  </si>
  <si>
    <t>Passagem</t>
  </si>
  <si>
    <t>Areia de Baraúnas</t>
  </si>
  <si>
    <t>Salgadinho</t>
  </si>
  <si>
    <t>Assunção</t>
  </si>
  <si>
    <t>Juazeirinho</t>
  </si>
  <si>
    <t>Soledade</t>
  </si>
  <si>
    <t>Pocinhos</t>
  </si>
  <si>
    <t>Montadas</t>
  </si>
  <si>
    <t>Puxinanã</t>
  </si>
  <si>
    <t>São Sebastião de Lagoa de Roça</t>
  </si>
  <si>
    <t>Alagoa Nova</t>
  </si>
  <si>
    <t>Matinhas</t>
  </si>
  <si>
    <t>Gurinhém</t>
  </si>
  <si>
    <t>Mari</t>
  </si>
  <si>
    <t>Caldas Brandão</t>
  </si>
  <si>
    <t>Sapé</t>
  </si>
  <si>
    <t>Sobrado</t>
  </si>
  <si>
    <t>Cruz do Espúrito Santo</t>
  </si>
  <si>
    <t>Bayeux</t>
  </si>
  <si>
    <t>João Pessoa</t>
  </si>
  <si>
    <t>Carrapateira</t>
  </si>
  <si>
    <t>Coremas</t>
  </si>
  <si>
    <t>Cajazeirinhas</t>
  </si>
  <si>
    <t>Patos</t>
  </si>
  <si>
    <t>Quixaba</t>
  </si>
  <si>
    <t>Junco do Seridó</t>
  </si>
  <si>
    <t>Olivedos</t>
  </si>
  <si>
    <t>Areial</t>
  </si>
  <si>
    <t>Esperança</t>
  </si>
  <si>
    <t>Remúgio</t>
  </si>
  <si>
    <t>Areia</t>
  </si>
  <si>
    <t>Alagoa Grande</t>
  </si>
  <si>
    <t>Mulungu</t>
  </si>
  <si>
    <t>Cabedelo</t>
  </si>
  <si>
    <t>Cachoeira dos Ãndios</t>
  </si>
  <si>
    <t>Cajazeiras</t>
  </si>
  <si>
    <t>Nazarezinho</t>
  </si>
  <si>
    <t>São José da Lagoa Tapada</t>
  </si>
  <si>
    <t>São Bentinho</t>
  </si>
  <si>
    <t>Condado</t>
  </si>
  <si>
    <t>Malta</t>
  </si>
  <si>
    <t>São Mamede</t>
  </si>
  <si>
    <t>Santa Luzia</t>
  </si>
  <si>
    <t>Tenório</t>
  </si>
  <si>
    <t>São Vicente do Seridó</t>
  </si>
  <si>
    <t>Cubati</t>
  </si>
  <si>
    <t>Algodão de Jandaúra</t>
  </si>
  <si>
    <t>PilÃµes</t>
  </si>
  <si>
    <t>Cuitegi</t>
  </si>
  <si>
    <t>Alagoinha</t>
  </si>
  <si>
    <t>Guarabira</t>
  </si>
  <si>
    <t>Araçagi</t>
  </si>
  <si>
    <t>Cuité de Mamanguape</t>
  </si>
  <si>
    <t>Capim</t>
  </si>
  <si>
    <t>Lucena</t>
  </si>
  <si>
    <t>Bom Jesus</t>
  </si>
  <si>
    <t>Marizópolis</t>
  </si>
  <si>
    <t>Sousa</t>
  </si>
  <si>
    <t>Aparecida</t>
  </si>
  <si>
    <t>São Domingos</t>
  </si>
  <si>
    <t>Pombal</t>
  </si>
  <si>
    <t>São José de Espinharas</t>
  </si>
  <si>
    <t>Várzea</t>
  </si>
  <si>
    <t>São José do Sabugi</t>
  </si>
  <si>
    <t>Pedra Lavrada</t>
  </si>
  <si>
    <t>Sossêgo</t>
  </si>
  <si>
    <t>-6.78</t>
  </si>
  <si>
    <t>Casserengue</t>
  </si>
  <si>
    <t>Arara</t>
  </si>
  <si>
    <t>Solânea</t>
  </si>
  <si>
    <t>Borborema</t>
  </si>
  <si>
    <t>Serraria</t>
  </si>
  <si>
    <t>PilÃµezinhos</t>
  </si>
  <si>
    <t>Sertãozinho</t>
  </si>
  <si>
    <t>Pirpirituba</t>
  </si>
  <si>
    <t>Itapororoca</t>
  </si>
  <si>
    <t>Mamanguape</t>
  </si>
  <si>
    <t>Marcação</t>
  </si>
  <si>
    <t>Rio Tinto</t>
  </si>
  <si>
    <t>Santa Helena</t>
  </si>
  <si>
    <t>São João do Rio do Peixe</t>
  </si>
  <si>
    <t>Vista Serrana</t>
  </si>
  <si>
    <t>Nova Palmeira</t>
  </si>
  <si>
    <t>Barra de Santa Rosa</t>
  </si>
  <si>
    <t>Bananeiras</t>
  </si>
  <si>
    <t>Belém</t>
  </si>
  <si>
    <t>Duas Estradas</t>
  </si>
  <si>
    <t>Serra da Raiz</t>
  </si>
  <si>
    <t>Lagoa de Dentro</t>
  </si>
  <si>
    <t>Curral de Cima</t>
  </si>
  <si>
    <t>Baúa da Traição</t>
  </si>
  <si>
    <t>Poço de José de Moura</t>
  </si>
  <si>
    <t>Triunfo</t>
  </si>
  <si>
    <t>São Francisco</t>
  </si>
  <si>
    <t>Lagoa</t>
  </si>
  <si>
    <t>Jericó</t>
  </si>
  <si>
    <t>Paulista</t>
  </si>
  <si>
    <t>Baraúna</t>
  </si>
  <si>
    <t>Damião</t>
  </si>
  <si>
    <t>Cacimba de Dentro</t>
  </si>
  <si>
    <t>Dona Inês</t>
  </si>
  <si>
    <t>Logradouro</t>
  </si>
  <si>
    <t>Caiçara</t>
  </si>
  <si>
    <t>Jacaraú</t>
  </si>
  <si>
    <t>Pedro Régis</t>
  </si>
  <si>
    <t>Mataraca</t>
  </si>
  <si>
    <t>Bernardino Batista</t>
  </si>
  <si>
    <t>Uiraúna</t>
  </si>
  <si>
    <t>Joca Claudino</t>
  </si>
  <si>
    <t>Vieirópolis</t>
  </si>
  <si>
    <t>Lastro</t>
  </si>
  <si>
    <t>Santa Cruz</t>
  </si>
  <si>
    <t>Mato Grosso</t>
  </si>
  <si>
    <t>São Bento</t>
  </si>
  <si>
    <t>-36.35</t>
  </si>
  <si>
    <t>Picuí</t>
  </si>
  <si>
    <t>Nova Floresta</t>
  </si>
  <si>
    <t>Cuité</t>
  </si>
  <si>
    <t>Araruna</t>
  </si>
  <si>
    <t>Riachão</t>
  </si>
  <si>
    <t>Tacima</t>
  </si>
  <si>
    <t>Poço Dantas</t>
  </si>
  <si>
    <t>Bom Sucesso</t>
  </si>
  <si>
    <t>Brejo dos Santos</t>
  </si>
  <si>
    <t>Riacho dos Cavalos</t>
  </si>
  <si>
    <t>Frei Martinho</t>
  </si>
  <si>
    <t>Catolé do Rocha</t>
  </si>
  <si>
    <t>Brejo do Cruz</t>
  </si>
  <si>
    <t>Belém do Brejo do Cruz</t>
  </si>
  <si>
    <t>São José do Brejo do Cruz</t>
  </si>
  <si>
    <t>LONGITUDE</t>
  </si>
  <si>
    <t>LATITUDE</t>
  </si>
  <si>
    <t>CIDADE</t>
  </si>
  <si>
    <t>ESTADO</t>
  </si>
  <si>
    <t>PREÇO COMPRA</t>
  </si>
  <si>
    <t>PROJETO 2%</t>
  </si>
  <si>
    <t>VENDA 5%</t>
  </si>
  <si>
    <t>INSTALAÇÃO</t>
  </si>
  <si>
    <t>TRANSPORTE 3%</t>
  </si>
  <si>
    <t>IMPOSTO 6%</t>
  </si>
  <si>
    <t>ADM 2%</t>
  </si>
  <si>
    <t>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</si>
</sst>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theme="4" tint="-0.249977111117893"/>
      <name val="Trebuchet MS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theme="4" tint="-0.249977111117893"/>
      <name val="Trebuchet MS"/>
      <family val="2"/>
    </font>
    <font>
      <sz val="10"/>
      <color theme="1"/>
      <name val="Trebuchet MS"/>
      <family val="2"/>
    </font>
    <font>
      <sz val="10"/>
      <color theme="4" tint="-0.249977111117893"/>
      <name val="Trebuchet MS"/>
      <family val="2"/>
    </font>
    <font>
      <b/>
      <sz val="10"/>
      <color theme="1"/>
      <name val="Trebuchet MS"/>
      <family val="2"/>
    </font>
    <font>
      <sz val="10"/>
      <name val="Trebuchet MS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Trebuchet MS"/>
      <family val="2"/>
    </font>
    <font>
      <i/>
      <sz val="10"/>
      <color theme="1"/>
      <name val="Trebuchet MS"/>
      <family val="2"/>
    </font>
    <font>
      <i/>
      <sz val="9"/>
      <color theme="1"/>
      <name val="Trebuchet MS"/>
      <family val="2"/>
    </font>
    <font>
      <sz val="10"/>
      <color theme="1"/>
      <name val="Calibri"/>
      <family val="2"/>
      <scheme val="minor"/>
    </font>
    <font>
      <b/>
      <sz val="9.5"/>
      <color theme="4" tint="-0.249977111117893"/>
      <name val="Trebuchet MS"/>
      <family val="2"/>
    </font>
    <font>
      <sz val="9.5"/>
      <name val="Trebuchet MS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0"/>
      <name val="Trebuchet MS"/>
      <family val="2"/>
    </font>
    <font>
      <sz val="11"/>
      <color rgb="FF467BB1"/>
      <name val="Trebuchet MS"/>
      <family val="2"/>
    </font>
    <font>
      <b/>
      <sz val="11"/>
      <color theme="0"/>
      <name val="Calibri"/>
      <family val="2"/>
      <scheme val="minor"/>
    </font>
    <font>
      <i/>
      <sz val="10"/>
      <color theme="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44" fontId="11" fillId="0" borderId="0" xfId="1" applyFont="1" applyAlignment="1">
      <alignment vertical="center"/>
    </xf>
    <xf numFmtId="0" fontId="14" fillId="2" borderId="0" xfId="0" applyFont="1" applyFill="1"/>
    <xf numFmtId="1" fontId="11" fillId="0" borderId="0" xfId="0" applyNumberFormat="1" applyFont="1" applyAlignment="1">
      <alignment horizontal="center" vertical="center"/>
    </xf>
    <xf numFmtId="0" fontId="5" fillId="0" borderId="0" xfId="0" applyFont="1"/>
    <xf numFmtId="0" fontId="13" fillId="0" borderId="0" xfId="3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2" fontId="11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0" fillId="0" borderId="0" xfId="0" applyNumberFormat="1"/>
    <xf numFmtId="0" fontId="18" fillId="0" borderId="0" xfId="0" applyFont="1"/>
    <xf numFmtId="1" fontId="8" fillId="0" borderId="0" xfId="0" applyNumberFormat="1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2" fontId="4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164" fontId="4" fillId="0" borderId="0" xfId="2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43" fontId="4" fillId="0" borderId="0" xfId="4" applyFont="1"/>
    <xf numFmtId="9" fontId="6" fillId="2" borderId="0" xfId="2" applyFont="1" applyFill="1" applyAlignment="1"/>
    <xf numFmtId="43" fontId="4" fillId="0" borderId="0" xfId="0" applyNumberFormat="1" applyFont="1"/>
    <xf numFmtId="9" fontId="22" fillId="0" borderId="0" xfId="2" applyFont="1" applyAlignment="1">
      <alignment horizontal="center" vertical="center"/>
    </xf>
    <xf numFmtId="9" fontId="20" fillId="0" borderId="0" xfId="2" applyFont="1" applyAlignment="1">
      <alignment horizontal="center" vertical="center"/>
    </xf>
    <xf numFmtId="9" fontId="11" fillId="0" borderId="0" xfId="2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0" fontId="6" fillId="2" borderId="0" xfId="0" applyFont="1" applyFill="1"/>
    <xf numFmtId="1" fontId="4" fillId="0" borderId="0" xfId="0" applyNumberFormat="1" applyFont="1"/>
    <xf numFmtId="0" fontId="17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right"/>
    </xf>
    <xf numFmtId="14" fontId="25" fillId="0" borderId="0" xfId="0" applyNumberFormat="1" applyFont="1"/>
    <xf numFmtId="0" fontId="4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7" fillId="2" borderId="0" xfId="0" applyFont="1" applyFill="1"/>
    <xf numFmtId="44" fontId="22" fillId="0" borderId="0" xfId="1" applyFont="1"/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8" fontId="0" fillId="0" borderId="0" xfId="0" applyNumberFormat="1"/>
    <xf numFmtId="9" fontId="4" fillId="0" borderId="0" xfId="2" applyFont="1"/>
    <xf numFmtId="0" fontId="4" fillId="3" borderId="0" xfId="0" applyFont="1" applyFill="1"/>
    <xf numFmtId="44" fontId="4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0" fontId="29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44" fontId="4" fillId="0" borderId="0" xfId="1" applyFont="1"/>
    <xf numFmtId="1" fontId="0" fillId="0" borderId="0" xfId="0" applyNumberFormat="1"/>
    <xf numFmtId="44" fontId="5" fillId="0" borderId="0" xfId="1" applyFont="1"/>
    <xf numFmtId="44" fontId="5" fillId="0" borderId="0" xfId="0" applyNumberFormat="1" applyFont="1"/>
    <xf numFmtId="9" fontId="5" fillId="0" borderId="0" xfId="2" applyFont="1"/>
    <xf numFmtId="0" fontId="16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4" fontId="1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4" fontId="11" fillId="0" borderId="0" xfId="1" applyFont="1" applyAlignment="1">
      <alignment horizontal="center" vertical="center"/>
    </xf>
    <xf numFmtId="44" fontId="20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44" fontId="8" fillId="0" borderId="0" xfId="1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1" fontId="11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2" fillId="0" borderId="0" xfId="3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44" fontId="4" fillId="0" borderId="0" xfId="1" applyFont="1" applyAlignment="1">
      <alignment horizontal="center"/>
    </xf>
    <xf numFmtId="4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5">
    <cellStyle name="Hiperlink" xfId="3" builtinId="8"/>
    <cellStyle name="Moeda" xfId="1" builtinId="4"/>
    <cellStyle name="Normal" xfId="0" builtinId="0"/>
    <cellStyle name="Porcentagem" xfId="2" builtinId="5"/>
    <cellStyle name="Vírgula" xfId="4" builtinId="3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467B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Irradiação Média Global Anual (kWh/m²/dia)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Dados!$P$7:$P$8</c:f>
              <c:strCache>
                <c:ptCount val="1"/>
                <c:pt idx="0">
                  <c:v>MÉDIA 4,75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Dados!$D$7:$O$7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[1]DIMENSIONAMENTO!$J$9:$U$9</c:f>
              <c:numCache>
                <c:formatCode>General</c:formatCode>
                <c:ptCount val="12"/>
                <c:pt idx="0">
                  <c:v>5.54</c:v>
                </c:pt>
                <c:pt idx="1">
                  <c:v>5.66</c:v>
                </c:pt>
                <c:pt idx="2">
                  <c:v>5.76</c:v>
                </c:pt>
                <c:pt idx="3">
                  <c:v>5.23</c:v>
                </c:pt>
                <c:pt idx="4">
                  <c:v>4.62</c:v>
                </c:pt>
                <c:pt idx="5">
                  <c:v>4.0599999999999996</c:v>
                </c:pt>
                <c:pt idx="6">
                  <c:v>4.16</c:v>
                </c:pt>
                <c:pt idx="7">
                  <c:v>4.8899999999999997</c:v>
                </c:pt>
                <c:pt idx="8">
                  <c:v>5.49</c:v>
                </c:pt>
                <c:pt idx="9">
                  <c:v>5.75</c:v>
                </c:pt>
                <c:pt idx="10">
                  <c:v>5.99</c:v>
                </c:pt>
                <c:pt idx="11">
                  <c:v>5.76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5-4B41-ACDD-68491012A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0306048"/>
        <c:axId val="220307840"/>
        <c:axId val="165992640"/>
      </c:bar3DChart>
      <c:catAx>
        <c:axId val="22030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307840"/>
        <c:crosses val="autoZero"/>
        <c:auto val="1"/>
        <c:lblAlgn val="ctr"/>
        <c:lblOffset val="100"/>
        <c:noMultiLvlLbl val="0"/>
      </c:catAx>
      <c:valAx>
        <c:axId val="2203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306048"/>
        <c:crosses val="autoZero"/>
        <c:crossBetween val="between"/>
      </c:valAx>
      <c:serAx>
        <c:axId val="165992640"/>
        <c:scaling>
          <c:orientation val="minMax"/>
        </c:scaling>
        <c:delete val="1"/>
        <c:axPos val="b"/>
        <c:majorTickMark val="none"/>
        <c:minorTickMark val="none"/>
        <c:tickLblPos val="nextTo"/>
        <c:crossAx val="220307840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Energia</a:t>
            </a:r>
            <a:r>
              <a:rPr lang="pt-BR" baseline="0"/>
              <a:t> Consumida x Energia Gerada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Dados!$D$3</c:f>
              <c:strCache>
                <c:ptCount val="1"/>
                <c:pt idx="0">
                  <c:v>CONSUMO MENSAL EM kWh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Dados!$D$4:$O$4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Dados!$D$5:$O$5</c:f>
              <c:numCache>
                <c:formatCode>0</c:formatCode>
                <c:ptCount val="12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1-4473-B6DE-64E8970030FC}"/>
            </c:ext>
          </c:extLst>
        </c:ser>
        <c:ser>
          <c:idx val="1"/>
          <c:order val="1"/>
          <c:tx>
            <c:strRef>
              <c:f>Dados!$D$10</c:f>
              <c:strCache>
                <c:ptCount val="1"/>
                <c:pt idx="0">
                  <c:v>ESTIMATIVA DE GERAÇÃO MÉDIA MENSAL EM kWh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Dados!$D$4:$O$4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Dados!$D$12:$O$12</c:f>
              <c:numCache>
                <c:formatCode>0</c:formatCode>
                <c:ptCount val="12"/>
                <c:pt idx="0">
                  <c:v>644.43599999999992</c:v>
                </c:pt>
                <c:pt idx="1">
                  <c:v>661.28399999999999</c:v>
                </c:pt>
                <c:pt idx="2">
                  <c:v>694.36224000000004</c:v>
                </c:pt>
                <c:pt idx="3">
                  <c:v>672.51599999999996</c:v>
                </c:pt>
                <c:pt idx="4">
                  <c:v>620.56799999999998</c:v>
                </c:pt>
                <c:pt idx="5">
                  <c:v>644.43599999999992</c:v>
                </c:pt>
                <c:pt idx="6">
                  <c:v>658.476</c:v>
                </c:pt>
                <c:pt idx="7">
                  <c:v>721.65599999999995</c:v>
                </c:pt>
                <c:pt idx="8">
                  <c:v>775.00800000000004</c:v>
                </c:pt>
                <c:pt idx="9">
                  <c:v>762.37199999999984</c:v>
                </c:pt>
                <c:pt idx="10">
                  <c:v>717.44399999999996</c:v>
                </c:pt>
                <c:pt idx="11">
                  <c:v>654.26400000000012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E1-4473-B6DE-64E89700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0344320"/>
        <c:axId val="220345856"/>
        <c:axId val="0"/>
      </c:bar3DChart>
      <c:catAx>
        <c:axId val="2203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345856"/>
        <c:crosses val="autoZero"/>
        <c:auto val="1"/>
        <c:lblAlgn val="ctr"/>
        <c:lblOffset val="100"/>
        <c:noMultiLvlLbl val="0"/>
      </c:catAx>
      <c:valAx>
        <c:axId val="2203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34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Fluxo de Caixa Acumulado no Período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Dados!$B$90:$AA$90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Dados!$B$91:$AA$91</c:f>
              <c:numCache>
                <c:formatCode>_("R$"* #,##0.00_);_("R$"* \(#,##0.00\);_("R$"* "-"??_);_(@_)</c:formatCode>
                <c:ptCount val="26"/>
                <c:pt idx="0">
                  <c:v>-29058.826499999999</c:v>
                </c:pt>
                <c:pt idx="1">
                  <c:v>-22813.947456168</c:v>
                </c:pt>
                <c:pt idx="2">
                  <c:v>-16291.290731918882</c:v>
                </c:pt>
                <c:pt idx="3">
                  <c:v>-9485.9286738931514</c:v>
                </c:pt>
                <c:pt idx="4">
                  <c:v>-2378.2975775974983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6-4FEA-9FEA-532E75252D69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Dados!$B$90:$AA$90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Dados!$B$92:$AA$92</c:f>
              <c:numCache>
                <c:formatCode>General</c:formatCode>
                <c:ptCount val="26"/>
                <c:pt idx="5" formatCode="_(&quot;R$&quot;* #,##0.00_);_(&quot;R$&quot;* \(#,##0.00\);_(&quot;R$&quot;* &quot;-&quot;??_);_(@_)">
                  <c:v>5044.8160556500043</c:v>
                </c:pt>
                <c:pt idx="6" formatCode="_(&quot;R$&quot;* #,##0.00_);_(&quot;R$&quot;* \(#,##0.00\);_(&quot;R$&quot;* &quot;-&quot;??_);_(@_)">
                  <c:v>12788.812608052587</c:v>
                </c:pt>
                <c:pt idx="7" formatCode="_(&quot;R$&quot;* #,##0.00_);_(&quot;R$&quot;* \(#,##0.00\);_(&quot;R$&quot;* &quot;-&quot;??_);_(@_)">
                  <c:v>20876.020320881416</c:v>
                </c:pt>
                <c:pt idx="8" formatCode="_(&quot;R$&quot;* #,##0.00_);_(&quot;R$&quot;* \(#,##0.00\);_(&quot;R$&quot;* &quot;-&quot;??_);_(@_)">
                  <c:v>29321.400318798107</c:v>
                </c:pt>
                <c:pt idx="9" formatCode="_(&quot;R$&quot;* #,##0.00_);_(&quot;R$&quot;* \(#,##0.00\);_(&quot;R$&quot;* &quot;-&quot;??_);_(@_)">
                  <c:v>38130.852309913127</c:v>
                </c:pt>
                <c:pt idx="10" formatCode="_(&quot;R$&quot;* #,##0.00_);_(&quot;R$&quot;* \(#,##0.00\);_(&quot;R$&quot;* &quot;-&quot;??_);_(@_)">
                  <c:v>47329.85451972358</c:v>
                </c:pt>
                <c:pt idx="11" formatCode="_(&quot;R$&quot;* #,##0.00_);_(&quot;R$&quot;* \(#,##0.00\);_(&quot;R$&quot;* &quot;-&quot;??_);_(@_)">
                  <c:v>56924.644640140556</c:v>
                </c:pt>
                <c:pt idx="12" formatCode="_(&quot;R$&quot;* #,##0.00_);_(&quot;R$&quot;* \(#,##0.00\);_(&quot;R$&quot;* &quot;-&quot;??_);_(@_)">
                  <c:v>66943.032341679878</c:v>
                </c:pt>
                <c:pt idx="13" formatCode="_(&quot;R$&quot;* #,##0.00_);_(&quot;R$&quot;* \(#,##0.00\);_(&quot;R$&quot;* &quot;-&quot;??_);_(@_)">
                  <c:v>77403.390407152736</c:v>
                </c:pt>
                <c:pt idx="14" formatCode="_(&quot;R$&quot;* #,##0.00_);_(&quot;R$&quot;* \(#,##0.00\);_(&quot;R$&quot;* &quot;-&quot;??_);_(@_)">
                  <c:v>88312.49060925853</c:v>
                </c:pt>
                <c:pt idx="15" formatCode="_(&quot;R$&quot;* #,##0.00_);_(&quot;R$&quot;* \(#,##0.00\);_(&quot;R$&quot;* &quot;-&quot;??_);_(@_)">
                  <c:v>99702.054525658983</c:v>
                </c:pt>
                <c:pt idx="16" formatCode="_(&quot;R$&quot;* #,##0.00_);_(&quot;R$&quot;* \(#,##0.00\);_(&quot;R$&quot;* &quot;-&quot;??_);_(@_)">
                  <c:v>111565.55943303784</c:v>
                </c:pt>
                <c:pt idx="17" formatCode="_(&quot;R$&quot;* #,##0.00_);_(&quot;R$&quot;* \(#,##0.00\);_(&quot;R$&quot;* &quot;-&quot;??_);_(@_)">
                  <c:v>123921.92552070193</c:v>
                </c:pt>
                <c:pt idx="18" formatCode="_(&quot;R$&quot;* #,##0.00_);_(&quot;R$&quot;* \(#,##0.00\);_(&quot;R$&quot;* &quot;-&quot;??_);_(@_)">
                  <c:v>136790.78014441134</c:v>
                </c:pt>
                <c:pt idx="19" formatCode="_(&quot;R$&quot;* #,##0.00_);_(&quot;R$&quot;* \(#,##0.00\);_(&quot;R$&quot;* &quot;-&quot;??_);_(@_)">
                  <c:v>150192.48124255144</c:v>
                </c:pt>
                <c:pt idx="20" formatCode="_(&quot;R$&quot;* #,##0.00_);_(&quot;R$&quot;* \(#,##0.00\);_(&quot;R$&quot;* &quot;-&quot;??_);_(@_)">
                  <c:v>164164.73076451922</c:v>
                </c:pt>
                <c:pt idx="21" formatCode="_(&quot;R$&quot;* #,##0.00_);_(&quot;R$&quot;* \(#,##0.00\);_(&quot;R$&quot;* &quot;-&quot;??_);_(@_)">
                  <c:v>178713.66038951324</c:v>
                </c:pt>
                <c:pt idx="22" formatCode="_(&quot;R$&quot;* #,##0.00_);_(&quot;R$&quot;* \(#,##0.00\);_(&quot;R$&quot;* &quot;-&quot;??_);_(@_)">
                  <c:v>193880.29735999205</c:v>
                </c:pt>
                <c:pt idx="23" formatCode="_(&quot;R$&quot;* #,##0.00_);_(&quot;R$&quot;* \(#,##0.00\);_(&quot;R$&quot;* &quot;-&quot;??_);_(@_)">
                  <c:v>209651.63138892388</c:v>
                </c:pt>
                <c:pt idx="24" formatCode="_(&quot;R$&quot;* #,##0.00_);_(&quot;R$&quot;* \(#,##0.00\);_(&quot;R$&quot;* &quot;-&quot;??_);_(@_)">
                  <c:v>226070.38015592465</c:v>
                </c:pt>
                <c:pt idx="25" formatCode="_(&quot;R$&quot;* #,##0.00_);_(&quot;R$&quot;* \(#,##0.00\);_(&quot;R$&quot;* &quot;-&quot;??_);_(@_)">
                  <c:v>243161.85679972894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46-4FEA-9FEA-532E75252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371968"/>
        <c:axId val="220377856"/>
      </c:barChart>
      <c:catAx>
        <c:axId val="22037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377856"/>
        <c:crosses val="autoZero"/>
        <c:auto val="1"/>
        <c:lblAlgn val="ctr"/>
        <c:lblOffset val="100"/>
        <c:noMultiLvlLbl val="0"/>
      </c:catAx>
      <c:valAx>
        <c:axId val="2203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037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63</xdr:row>
      <xdr:rowOff>0</xdr:rowOff>
    </xdr:from>
    <xdr:to>
      <xdr:col>2</xdr:col>
      <xdr:colOff>654843</xdr:colOff>
      <xdr:row>63</xdr:row>
      <xdr:rowOff>205200</xdr:rowOff>
    </xdr:to>
    <xdr:sp macro="" textlink="">
      <xdr:nvSpPr>
        <xdr:cNvPr id="12" name="Retângulo Arredondad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369094"/>
          <a:ext cx="1309687" cy="205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80</xdr:row>
      <xdr:rowOff>0</xdr:rowOff>
    </xdr:from>
    <xdr:to>
      <xdr:col>10</xdr:col>
      <xdr:colOff>636975</xdr:colOff>
      <xdr:row>80</xdr:row>
      <xdr:rowOff>205200</xdr:rowOff>
    </xdr:to>
    <xdr:sp macro="" textlink="">
      <xdr:nvSpPr>
        <xdr:cNvPr id="11" name="Retângulo Arredondad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2661047"/>
          <a:ext cx="6530569" cy="205200"/>
        </a:xfrm>
        <a:prstGeom prst="round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103</xdr:row>
      <xdr:rowOff>203100</xdr:rowOff>
    </xdr:from>
    <xdr:to>
      <xdr:col>10</xdr:col>
      <xdr:colOff>636975</xdr:colOff>
      <xdr:row>104</xdr:row>
      <xdr:rowOff>199941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5989538"/>
          <a:ext cx="6530569" cy="205200"/>
        </a:xfrm>
        <a:prstGeom prst="round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208014</xdr:colOff>
      <xdr:row>104</xdr:row>
      <xdr:rowOff>3741</xdr:rowOff>
    </xdr:from>
    <xdr:to>
      <xdr:col>4</xdr:col>
      <xdr:colOff>0</xdr:colOff>
      <xdr:row>104</xdr:row>
      <xdr:rowOff>197829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8014" y="5998538"/>
          <a:ext cx="1756517" cy="19408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1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Trebuchet MS" panose="020B0603020202020204" pitchFamily="34" charset="0"/>
            </a:rPr>
            <a:t>VIABILIDADE FINANCEIRA</a:t>
          </a:r>
        </a:p>
      </xdr:txBody>
    </xdr:sp>
    <xdr:clientData/>
  </xdr:twoCellAnchor>
  <xdr:twoCellAnchor>
    <xdr:from>
      <xdr:col>1</xdr:col>
      <xdr:colOff>0</xdr:colOff>
      <xdr:row>60</xdr:row>
      <xdr:rowOff>113109</xdr:rowOff>
    </xdr:from>
    <xdr:to>
      <xdr:col>10</xdr:col>
      <xdr:colOff>636975</xdr:colOff>
      <xdr:row>61</xdr:row>
      <xdr:rowOff>205200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113109"/>
          <a:ext cx="6530569" cy="205200"/>
        </a:xfrm>
        <a:prstGeom prst="round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208014</xdr:colOff>
      <xdr:row>60</xdr:row>
      <xdr:rowOff>59120</xdr:rowOff>
    </xdr:from>
    <xdr:to>
      <xdr:col>4</xdr:col>
      <xdr:colOff>0</xdr:colOff>
      <xdr:row>61</xdr:row>
      <xdr:rowOff>187200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08014" y="308741"/>
          <a:ext cx="1762676" cy="1872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1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Trebuchet MS" panose="020B0603020202020204" pitchFamily="34" charset="0"/>
            </a:rPr>
            <a:t>DADOS DO CLIENTE</a:t>
          </a:r>
        </a:p>
      </xdr:txBody>
    </xdr:sp>
    <xdr:clientData/>
  </xdr:twoCellAnchor>
  <xdr:twoCellAnchor>
    <xdr:from>
      <xdr:col>1</xdr:col>
      <xdr:colOff>0</xdr:colOff>
      <xdr:row>72</xdr:row>
      <xdr:rowOff>0</xdr:rowOff>
    </xdr:from>
    <xdr:to>
      <xdr:col>10</xdr:col>
      <xdr:colOff>636975</xdr:colOff>
      <xdr:row>72</xdr:row>
      <xdr:rowOff>205200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1410891"/>
          <a:ext cx="6530569" cy="205200"/>
        </a:xfrm>
        <a:prstGeom prst="round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171375</xdr:colOff>
      <xdr:row>71</xdr:row>
      <xdr:rowOff>59120</xdr:rowOff>
    </xdr:from>
    <xdr:to>
      <xdr:col>5</xdr:col>
      <xdr:colOff>0</xdr:colOff>
      <xdr:row>72</xdr:row>
      <xdr:rowOff>187200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71375" y="1622534"/>
          <a:ext cx="2456211" cy="1872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1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Trebuchet MS" panose="020B0603020202020204" pitchFamily="34" charset="0"/>
            </a:rPr>
            <a:t>DADOS DA UNIDADE</a:t>
          </a:r>
          <a:r>
            <a:rPr lang="pt-BR" sz="1100" baseline="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Trebuchet MS" panose="020B0603020202020204" pitchFamily="34" charset="0"/>
            </a:rPr>
            <a:t> CONSUMIDORA</a:t>
          </a:r>
          <a:endParaRPr lang="pt-BR" sz="1100">
            <a:ln>
              <a:solidFill>
                <a:schemeClr val="bg1"/>
              </a:solidFill>
            </a:ln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236531</xdr:colOff>
      <xdr:row>80</xdr:row>
      <xdr:rowOff>0</xdr:rowOff>
    </xdr:from>
    <xdr:to>
      <xdr:col>4</xdr:col>
      <xdr:colOff>0</xdr:colOff>
      <xdr:row>80</xdr:row>
      <xdr:rowOff>187200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36531" y="2661047"/>
          <a:ext cx="1728000" cy="1872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Trebuchet MS" panose="020B0603020202020204" pitchFamily="34" charset="0"/>
            </a:rPr>
            <a:t>SOLUÇÃO PROPOSTA</a:t>
          </a:r>
        </a:p>
      </xdr:txBody>
    </xdr:sp>
    <xdr:clientData/>
  </xdr:twoCellAnchor>
  <xdr:twoCellAnchor>
    <xdr:from>
      <xdr:col>9</xdr:col>
      <xdr:colOff>0</xdr:colOff>
      <xdr:row>63</xdr:row>
      <xdr:rowOff>0</xdr:rowOff>
    </xdr:from>
    <xdr:to>
      <xdr:col>10</xdr:col>
      <xdr:colOff>654843</xdr:colOff>
      <xdr:row>63</xdr:row>
      <xdr:rowOff>205200</xdr:rowOff>
    </xdr:to>
    <xdr:sp macro="" textlink="">
      <xdr:nvSpPr>
        <xdr:cNvPr id="13" name="Retângulo Arredondad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238750" y="369094"/>
          <a:ext cx="1309687" cy="205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0</xdr:colOff>
      <xdr:row>63</xdr:row>
      <xdr:rowOff>0</xdr:rowOff>
    </xdr:from>
    <xdr:to>
      <xdr:col>7</xdr:col>
      <xdr:colOff>0</xdr:colOff>
      <xdr:row>63</xdr:row>
      <xdr:rowOff>205200</xdr:rowOff>
    </xdr:to>
    <xdr:sp macro="" textlink="">
      <xdr:nvSpPr>
        <xdr:cNvPr id="14" name="Retângulo Arredondad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309688" y="369094"/>
          <a:ext cx="2619375" cy="205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0</xdr:colOff>
      <xdr:row>63</xdr:row>
      <xdr:rowOff>0</xdr:rowOff>
    </xdr:from>
    <xdr:to>
      <xdr:col>9</xdr:col>
      <xdr:colOff>0</xdr:colOff>
      <xdr:row>63</xdr:row>
      <xdr:rowOff>205200</xdr:rowOff>
    </xdr:to>
    <xdr:sp macro="" textlink="">
      <xdr:nvSpPr>
        <xdr:cNvPr id="15" name="Retângulo Arredondad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929063" y="369094"/>
          <a:ext cx="1309687" cy="205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654843</xdr:colOff>
      <xdr:row>65</xdr:row>
      <xdr:rowOff>186150</xdr:rowOff>
    </xdr:to>
    <xdr:sp macro="" textlink="">
      <xdr:nvSpPr>
        <xdr:cNvPr id="16" name="Retângulo Arredondad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595313"/>
          <a:ext cx="1309687" cy="18615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0</xdr:colOff>
      <xdr:row>65</xdr:row>
      <xdr:rowOff>0</xdr:rowOff>
    </xdr:from>
    <xdr:to>
      <xdr:col>10</xdr:col>
      <xdr:colOff>654843</xdr:colOff>
      <xdr:row>65</xdr:row>
      <xdr:rowOff>186150</xdr:rowOff>
    </xdr:to>
    <xdr:sp macro="" textlink="">
      <xdr:nvSpPr>
        <xdr:cNvPr id="17" name="Retângulo Arredondad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238750" y="595313"/>
          <a:ext cx="1309687" cy="18615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0</xdr:colOff>
      <xdr:row>65</xdr:row>
      <xdr:rowOff>0</xdr:rowOff>
    </xdr:from>
    <xdr:to>
      <xdr:col>7</xdr:col>
      <xdr:colOff>0</xdr:colOff>
      <xdr:row>65</xdr:row>
      <xdr:rowOff>186150</xdr:rowOff>
    </xdr:to>
    <xdr:sp macro="" textlink="">
      <xdr:nvSpPr>
        <xdr:cNvPr id="18" name="Retângulo Arredondad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309688" y="595313"/>
          <a:ext cx="2619375" cy="18615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9</xdr:col>
      <xdr:colOff>0</xdr:colOff>
      <xdr:row>65</xdr:row>
      <xdr:rowOff>186150</xdr:rowOff>
    </xdr:to>
    <xdr:sp macro="" textlink="">
      <xdr:nvSpPr>
        <xdr:cNvPr id="19" name="Retângulo Arredondad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929063" y="595313"/>
          <a:ext cx="1309687" cy="18615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2</xdr:col>
      <xdr:colOff>0</xdr:colOff>
      <xdr:row>67</xdr:row>
      <xdr:rowOff>187200</xdr:rowOff>
    </xdr:to>
    <xdr:sp macro="" textlink="">
      <xdr:nvSpPr>
        <xdr:cNvPr id="21" name="Retângulo Arredondad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821531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0</xdr:colOff>
      <xdr:row>67</xdr:row>
      <xdr:rowOff>0</xdr:rowOff>
    </xdr:from>
    <xdr:to>
      <xdr:col>8</xdr:col>
      <xdr:colOff>1</xdr:colOff>
      <xdr:row>67</xdr:row>
      <xdr:rowOff>187200</xdr:rowOff>
    </xdr:to>
    <xdr:sp macro="" textlink="">
      <xdr:nvSpPr>
        <xdr:cNvPr id="30" name="Retângulo Arredondad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3929063" y="821531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7</xdr:col>
      <xdr:colOff>0</xdr:colOff>
      <xdr:row>67</xdr:row>
      <xdr:rowOff>187200</xdr:rowOff>
    </xdr:to>
    <xdr:sp macro="" textlink="">
      <xdr:nvSpPr>
        <xdr:cNvPr id="34" name="Retângulo Arredondad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274219" y="821531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8</xdr:col>
      <xdr:colOff>0</xdr:colOff>
      <xdr:row>67</xdr:row>
      <xdr:rowOff>0</xdr:rowOff>
    </xdr:from>
    <xdr:to>
      <xdr:col>9</xdr:col>
      <xdr:colOff>0</xdr:colOff>
      <xdr:row>67</xdr:row>
      <xdr:rowOff>187200</xdr:rowOff>
    </xdr:to>
    <xdr:sp macro="" textlink="">
      <xdr:nvSpPr>
        <xdr:cNvPr id="35" name="Retângulo Arredondad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4583906" y="821531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10</xdr:col>
      <xdr:colOff>654843</xdr:colOff>
      <xdr:row>67</xdr:row>
      <xdr:rowOff>186150</xdr:rowOff>
    </xdr:to>
    <xdr:sp macro="" textlink="">
      <xdr:nvSpPr>
        <xdr:cNvPr id="36" name="Retângulo Arredondad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238750" y="821531"/>
          <a:ext cx="1309687" cy="18615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6</xdr:col>
      <xdr:colOff>0</xdr:colOff>
      <xdr:row>67</xdr:row>
      <xdr:rowOff>186150</xdr:rowOff>
    </xdr:to>
    <xdr:sp macro="" textlink="">
      <xdr:nvSpPr>
        <xdr:cNvPr id="37" name="Retângulo Arredondad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54844" y="821531"/>
          <a:ext cx="2619375" cy="18615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2</xdr:col>
      <xdr:colOff>0</xdr:colOff>
      <xdr:row>69</xdr:row>
      <xdr:rowOff>187200</xdr:rowOff>
    </xdr:to>
    <xdr:sp macro="" textlink="">
      <xdr:nvSpPr>
        <xdr:cNvPr id="38" name="Retângulo Arredondad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1047750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69</xdr:row>
      <xdr:rowOff>0</xdr:rowOff>
    </xdr:from>
    <xdr:to>
      <xdr:col>8</xdr:col>
      <xdr:colOff>0</xdr:colOff>
      <xdr:row>69</xdr:row>
      <xdr:rowOff>187200</xdr:rowOff>
    </xdr:to>
    <xdr:sp macro="" textlink="">
      <xdr:nvSpPr>
        <xdr:cNvPr id="39" name="Retângulo Arredondad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2619375" y="1047750"/>
          <a:ext cx="1964531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69</xdr:row>
      <xdr:rowOff>187200</xdr:rowOff>
    </xdr:to>
    <xdr:sp macro="" textlink="">
      <xdr:nvSpPr>
        <xdr:cNvPr id="40" name="Retângulo Arredondad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964531" y="1047750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187200</xdr:rowOff>
    </xdr:to>
    <xdr:sp macro="" textlink="">
      <xdr:nvSpPr>
        <xdr:cNvPr id="41" name="Retângulo Arredondad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4583906" y="1047750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0</xdr:colOff>
      <xdr:row>69</xdr:row>
      <xdr:rowOff>0</xdr:rowOff>
    </xdr:from>
    <xdr:to>
      <xdr:col>10</xdr:col>
      <xdr:colOff>654843</xdr:colOff>
      <xdr:row>69</xdr:row>
      <xdr:rowOff>186150</xdr:rowOff>
    </xdr:to>
    <xdr:sp macro="" textlink="">
      <xdr:nvSpPr>
        <xdr:cNvPr id="42" name="Retângulo Arredondad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238750" y="1047750"/>
          <a:ext cx="1309687" cy="18615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4</xdr:col>
      <xdr:colOff>1</xdr:colOff>
      <xdr:row>69</xdr:row>
      <xdr:rowOff>187200</xdr:rowOff>
    </xdr:to>
    <xdr:sp macro="" textlink="">
      <xdr:nvSpPr>
        <xdr:cNvPr id="44" name="Retângulo Arredondado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54844" y="1047750"/>
          <a:ext cx="130968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6</xdr:col>
      <xdr:colOff>0</xdr:colOff>
      <xdr:row>74</xdr:row>
      <xdr:rowOff>187200</xdr:rowOff>
    </xdr:to>
    <xdr:sp macro="" textlink="">
      <xdr:nvSpPr>
        <xdr:cNvPr id="49" name="Retângulo Arredondad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309688" y="1565672"/>
          <a:ext cx="1964531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74</xdr:row>
      <xdr:rowOff>0</xdr:rowOff>
    </xdr:from>
    <xdr:to>
      <xdr:col>10</xdr:col>
      <xdr:colOff>654843</xdr:colOff>
      <xdr:row>74</xdr:row>
      <xdr:rowOff>187200</xdr:rowOff>
    </xdr:to>
    <xdr:sp macro="" textlink="">
      <xdr:nvSpPr>
        <xdr:cNvPr id="50" name="Retângulo Arredondado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4583906" y="1565672"/>
          <a:ext cx="1964531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74</xdr:row>
      <xdr:rowOff>0</xdr:rowOff>
    </xdr:from>
    <xdr:to>
      <xdr:col>8</xdr:col>
      <xdr:colOff>1</xdr:colOff>
      <xdr:row>74</xdr:row>
      <xdr:rowOff>187200</xdr:rowOff>
    </xdr:to>
    <xdr:sp macro="" textlink="">
      <xdr:nvSpPr>
        <xdr:cNvPr id="51" name="Retângulo Arredondado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3274219" y="1565672"/>
          <a:ext cx="130968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3</xdr:col>
      <xdr:colOff>0</xdr:colOff>
      <xdr:row>74</xdr:row>
      <xdr:rowOff>187200</xdr:rowOff>
    </xdr:to>
    <xdr:sp macro="" textlink="">
      <xdr:nvSpPr>
        <xdr:cNvPr id="52" name="Retângulo Arredondado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1565672"/>
          <a:ext cx="130968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76</xdr:row>
      <xdr:rowOff>0</xdr:rowOff>
    </xdr:from>
    <xdr:to>
      <xdr:col>8</xdr:col>
      <xdr:colOff>0</xdr:colOff>
      <xdr:row>76</xdr:row>
      <xdr:rowOff>187200</xdr:rowOff>
    </xdr:to>
    <xdr:sp macro="" textlink="">
      <xdr:nvSpPr>
        <xdr:cNvPr id="53" name="Retângulo Arredondad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619375" y="1982391"/>
          <a:ext cx="1964531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0</xdr:colOff>
      <xdr:row>76</xdr:row>
      <xdr:rowOff>0</xdr:rowOff>
    </xdr:from>
    <xdr:to>
      <xdr:col>10</xdr:col>
      <xdr:colOff>0</xdr:colOff>
      <xdr:row>76</xdr:row>
      <xdr:rowOff>187200</xdr:rowOff>
    </xdr:to>
    <xdr:sp macro="" textlink="">
      <xdr:nvSpPr>
        <xdr:cNvPr id="54" name="Retângulo Arredondad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238750" y="1982391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0</xdr:colOff>
      <xdr:row>76</xdr:row>
      <xdr:rowOff>0</xdr:rowOff>
    </xdr:from>
    <xdr:to>
      <xdr:col>11</xdr:col>
      <xdr:colOff>0</xdr:colOff>
      <xdr:row>76</xdr:row>
      <xdr:rowOff>187200</xdr:rowOff>
    </xdr:to>
    <xdr:sp macro="" textlink="">
      <xdr:nvSpPr>
        <xdr:cNvPr id="55" name="Retângulo Arredondad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893594" y="1982391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76</xdr:row>
      <xdr:rowOff>0</xdr:rowOff>
    </xdr:from>
    <xdr:to>
      <xdr:col>3</xdr:col>
      <xdr:colOff>0</xdr:colOff>
      <xdr:row>76</xdr:row>
      <xdr:rowOff>187200</xdr:rowOff>
    </xdr:to>
    <xdr:sp macro="" textlink="">
      <xdr:nvSpPr>
        <xdr:cNvPr id="56" name="Retângulo Arredondad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1982391"/>
          <a:ext cx="130968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5</xdr:col>
      <xdr:colOff>1</xdr:colOff>
      <xdr:row>76</xdr:row>
      <xdr:rowOff>187200</xdr:rowOff>
    </xdr:to>
    <xdr:sp macro="" textlink="">
      <xdr:nvSpPr>
        <xdr:cNvPr id="57" name="Retângulo Arredondad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1309688" y="1982391"/>
          <a:ext cx="130968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76</xdr:row>
      <xdr:rowOff>0</xdr:rowOff>
    </xdr:from>
    <xdr:to>
      <xdr:col>9</xdr:col>
      <xdr:colOff>0</xdr:colOff>
      <xdr:row>76</xdr:row>
      <xdr:rowOff>187200</xdr:rowOff>
    </xdr:to>
    <xdr:sp macro="" textlink="">
      <xdr:nvSpPr>
        <xdr:cNvPr id="58" name="Retângulo Arredondado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583906" y="1982391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77</xdr:row>
      <xdr:rowOff>35718</xdr:rowOff>
    </xdr:from>
    <xdr:to>
      <xdr:col>4</xdr:col>
      <xdr:colOff>0</xdr:colOff>
      <xdr:row>78</xdr:row>
      <xdr:rowOff>187200</xdr:rowOff>
    </xdr:to>
    <xdr:sp macro="" textlink="">
      <xdr:nvSpPr>
        <xdr:cNvPr id="59" name="Retângulo Arredondado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2208609"/>
          <a:ext cx="1964531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0</xdr:colOff>
      <xdr:row>77</xdr:row>
      <xdr:rowOff>35718</xdr:rowOff>
    </xdr:from>
    <xdr:to>
      <xdr:col>5</xdr:col>
      <xdr:colOff>0</xdr:colOff>
      <xdr:row>78</xdr:row>
      <xdr:rowOff>187200</xdr:rowOff>
    </xdr:to>
    <xdr:sp macro="" textlink="">
      <xdr:nvSpPr>
        <xdr:cNvPr id="61" name="Retângulo Arredondad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964531" y="2208609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77</xdr:row>
      <xdr:rowOff>35718</xdr:rowOff>
    </xdr:from>
    <xdr:to>
      <xdr:col>8</xdr:col>
      <xdr:colOff>0</xdr:colOff>
      <xdr:row>78</xdr:row>
      <xdr:rowOff>187200</xdr:rowOff>
    </xdr:to>
    <xdr:sp macro="" textlink="">
      <xdr:nvSpPr>
        <xdr:cNvPr id="62" name="Retângulo Arredondado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619375" y="2208609"/>
          <a:ext cx="1964531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77</xdr:row>
      <xdr:rowOff>35718</xdr:rowOff>
    </xdr:from>
    <xdr:to>
      <xdr:col>10</xdr:col>
      <xdr:colOff>654843</xdr:colOff>
      <xdr:row>78</xdr:row>
      <xdr:rowOff>187200</xdr:rowOff>
    </xdr:to>
    <xdr:sp macro="" textlink="">
      <xdr:nvSpPr>
        <xdr:cNvPr id="63" name="Retângulo Arredondado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4583906" y="2208609"/>
          <a:ext cx="1964531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11</xdr:col>
      <xdr:colOff>0</xdr:colOff>
      <xdr:row>82</xdr:row>
      <xdr:rowOff>187200</xdr:rowOff>
    </xdr:to>
    <xdr:sp macro="" textlink="">
      <xdr:nvSpPr>
        <xdr:cNvPr id="67" name="Retângulo Arredondado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893594" y="3030141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10</xdr:col>
      <xdr:colOff>0</xdr:colOff>
      <xdr:row>82</xdr:row>
      <xdr:rowOff>187200</xdr:rowOff>
    </xdr:to>
    <xdr:sp macro="" textlink="">
      <xdr:nvSpPr>
        <xdr:cNvPr id="68" name="Retângulo Arredondado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3929063" y="3030141"/>
          <a:ext cx="1964531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84</xdr:row>
      <xdr:rowOff>0</xdr:rowOff>
    </xdr:from>
    <xdr:to>
      <xdr:col>4</xdr:col>
      <xdr:colOff>0</xdr:colOff>
      <xdr:row>84</xdr:row>
      <xdr:rowOff>187200</xdr:rowOff>
    </xdr:to>
    <xdr:sp macro="" textlink="">
      <xdr:nvSpPr>
        <xdr:cNvPr id="83" name="Retângulo Arredondado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3280172"/>
          <a:ext cx="1964531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84</xdr:row>
      <xdr:rowOff>0</xdr:rowOff>
    </xdr:from>
    <xdr:to>
      <xdr:col>10</xdr:col>
      <xdr:colOff>654843</xdr:colOff>
      <xdr:row>84</xdr:row>
      <xdr:rowOff>187200</xdr:rowOff>
    </xdr:to>
    <xdr:sp macro="" textlink="">
      <xdr:nvSpPr>
        <xdr:cNvPr id="84" name="Retângulo Arredondad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4583906" y="3280172"/>
          <a:ext cx="1964531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0</xdr:colOff>
      <xdr:row>84</xdr:row>
      <xdr:rowOff>0</xdr:rowOff>
    </xdr:from>
    <xdr:to>
      <xdr:col>8</xdr:col>
      <xdr:colOff>0</xdr:colOff>
      <xdr:row>84</xdr:row>
      <xdr:rowOff>187200</xdr:rowOff>
    </xdr:to>
    <xdr:sp macro="" textlink="">
      <xdr:nvSpPr>
        <xdr:cNvPr id="85" name="Retângulo Arredondado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1964531" y="3280172"/>
          <a:ext cx="2619375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86</xdr:row>
      <xdr:rowOff>0</xdr:rowOff>
    </xdr:from>
    <xdr:to>
      <xdr:col>2</xdr:col>
      <xdr:colOff>0</xdr:colOff>
      <xdr:row>86</xdr:row>
      <xdr:rowOff>187200</xdr:rowOff>
    </xdr:to>
    <xdr:sp macro="" textlink="">
      <xdr:nvSpPr>
        <xdr:cNvPr id="90" name="Retângulo Arredondado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3530203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88</xdr:row>
      <xdr:rowOff>0</xdr:rowOff>
    </xdr:from>
    <xdr:to>
      <xdr:col>2</xdr:col>
      <xdr:colOff>0</xdr:colOff>
      <xdr:row>88</xdr:row>
      <xdr:rowOff>187200</xdr:rowOff>
    </xdr:to>
    <xdr:sp macro="" textlink="">
      <xdr:nvSpPr>
        <xdr:cNvPr id="91" name="Retângulo Arredondado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3720703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3</xdr:col>
      <xdr:colOff>0</xdr:colOff>
      <xdr:row>90</xdr:row>
      <xdr:rowOff>187200</xdr:rowOff>
    </xdr:to>
    <xdr:sp macro="" textlink="">
      <xdr:nvSpPr>
        <xdr:cNvPr id="94" name="Retângulo Arredondado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3911203"/>
          <a:ext cx="130968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3</xdr:col>
      <xdr:colOff>0</xdr:colOff>
      <xdr:row>92</xdr:row>
      <xdr:rowOff>187200</xdr:rowOff>
    </xdr:to>
    <xdr:sp macro="" textlink="">
      <xdr:nvSpPr>
        <xdr:cNvPr id="95" name="Retângulo Arredondado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4101703"/>
          <a:ext cx="130968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94</xdr:row>
      <xdr:rowOff>0</xdr:rowOff>
    </xdr:from>
    <xdr:to>
      <xdr:col>3</xdr:col>
      <xdr:colOff>0</xdr:colOff>
      <xdr:row>94</xdr:row>
      <xdr:rowOff>187200</xdr:rowOff>
    </xdr:to>
    <xdr:sp macro="" textlink="">
      <xdr:nvSpPr>
        <xdr:cNvPr id="96" name="Retângulo Arredondado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4292203"/>
          <a:ext cx="130968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0</xdr:colOff>
      <xdr:row>90</xdr:row>
      <xdr:rowOff>0</xdr:rowOff>
    </xdr:from>
    <xdr:to>
      <xdr:col>4</xdr:col>
      <xdr:colOff>1</xdr:colOff>
      <xdr:row>90</xdr:row>
      <xdr:rowOff>187200</xdr:rowOff>
    </xdr:to>
    <xdr:sp macro="" textlink="">
      <xdr:nvSpPr>
        <xdr:cNvPr id="101" name="Retângulo Arredondado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1309688" y="4030266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4</xdr:col>
      <xdr:colOff>1</xdr:colOff>
      <xdr:row>92</xdr:row>
      <xdr:rowOff>187200</xdr:rowOff>
    </xdr:to>
    <xdr:sp macro="" textlink="">
      <xdr:nvSpPr>
        <xdr:cNvPr id="102" name="Retângulo Arredondado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309688" y="4280297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0</xdr:colOff>
      <xdr:row>94</xdr:row>
      <xdr:rowOff>0</xdr:rowOff>
    </xdr:from>
    <xdr:to>
      <xdr:col>4</xdr:col>
      <xdr:colOff>1</xdr:colOff>
      <xdr:row>94</xdr:row>
      <xdr:rowOff>187200</xdr:rowOff>
    </xdr:to>
    <xdr:sp macro="" textlink="">
      <xdr:nvSpPr>
        <xdr:cNvPr id="103" name="Retângulo Arredondado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309688" y="4530328"/>
          <a:ext cx="65484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86</xdr:row>
      <xdr:rowOff>0</xdr:rowOff>
    </xdr:from>
    <xdr:to>
      <xdr:col>4</xdr:col>
      <xdr:colOff>1</xdr:colOff>
      <xdr:row>86</xdr:row>
      <xdr:rowOff>187200</xdr:rowOff>
    </xdr:to>
    <xdr:sp macro="" textlink="">
      <xdr:nvSpPr>
        <xdr:cNvPr id="104" name="Retângulo Arredondado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654844" y="3530203"/>
          <a:ext cx="130968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87</xdr:row>
      <xdr:rowOff>59531</xdr:rowOff>
    </xdr:from>
    <xdr:to>
      <xdr:col>4</xdr:col>
      <xdr:colOff>1</xdr:colOff>
      <xdr:row>88</xdr:row>
      <xdr:rowOff>187200</xdr:rowOff>
    </xdr:to>
    <xdr:sp macro="" textlink="">
      <xdr:nvSpPr>
        <xdr:cNvPr id="105" name="Retângulo Arredondado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654844" y="3780234"/>
          <a:ext cx="130968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0</xdr:colOff>
      <xdr:row>91</xdr:row>
      <xdr:rowOff>59120</xdr:rowOff>
    </xdr:from>
    <xdr:to>
      <xdr:col>6</xdr:col>
      <xdr:colOff>0</xdr:colOff>
      <xdr:row>92</xdr:row>
      <xdr:rowOff>187200</xdr:rowOff>
    </xdr:to>
    <xdr:sp macro="" textlink="">
      <xdr:nvSpPr>
        <xdr:cNvPr id="110" name="Retângulo Arredondado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1970690" y="4296103"/>
          <a:ext cx="1313793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91</xdr:row>
      <xdr:rowOff>59120</xdr:rowOff>
    </xdr:from>
    <xdr:to>
      <xdr:col>8</xdr:col>
      <xdr:colOff>0</xdr:colOff>
      <xdr:row>92</xdr:row>
      <xdr:rowOff>187200</xdr:rowOff>
    </xdr:to>
    <xdr:sp macro="" textlink="">
      <xdr:nvSpPr>
        <xdr:cNvPr id="111" name="Retângulo Arredondado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3284483" y="4296103"/>
          <a:ext cx="1313793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0</xdr:colOff>
      <xdr:row>94</xdr:row>
      <xdr:rowOff>0</xdr:rowOff>
    </xdr:from>
    <xdr:to>
      <xdr:col>6</xdr:col>
      <xdr:colOff>0</xdr:colOff>
      <xdr:row>94</xdr:row>
      <xdr:rowOff>187200</xdr:rowOff>
    </xdr:to>
    <xdr:sp macro="" textlink="">
      <xdr:nvSpPr>
        <xdr:cNvPr id="112" name="Retângulo Arredondado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1970690" y="4545724"/>
          <a:ext cx="1313793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94</xdr:row>
      <xdr:rowOff>0</xdr:rowOff>
    </xdr:from>
    <xdr:to>
      <xdr:col>8</xdr:col>
      <xdr:colOff>0</xdr:colOff>
      <xdr:row>94</xdr:row>
      <xdr:rowOff>187200</xdr:rowOff>
    </xdr:to>
    <xdr:sp macro="" textlink="">
      <xdr:nvSpPr>
        <xdr:cNvPr id="113" name="Retângulo Arredondado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3284483" y="4545724"/>
          <a:ext cx="1313793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0</xdr:colOff>
      <xdr:row>88</xdr:row>
      <xdr:rowOff>0</xdr:rowOff>
    </xdr:from>
    <xdr:to>
      <xdr:col>5</xdr:col>
      <xdr:colOff>2</xdr:colOff>
      <xdr:row>88</xdr:row>
      <xdr:rowOff>187200</xdr:rowOff>
    </xdr:to>
    <xdr:sp macro="" textlink="">
      <xdr:nvSpPr>
        <xdr:cNvPr id="114" name="Retângulo Arredondado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1970690" y="3796862"/>
          <a:ext cx="65689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8</xdr:col>
      <xdr:colOff>0</xdr:colOff>
      <xdr:row>88</xdr:row>
      <xdr:rowOff>187200</xdr:rowOff>
    </xdr:to>
    <xdr:sp macro="" textlink="">
      <xdr:nvSpPr>
        <xdr:cNvPr id="115" name="Retângulo Arredondado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2627586" y="3796862"/>
          <a:ext cx="1970690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85</xdr:row>
      <xdr:rowOff>59120</xdr:rowOff>
    </xdr:from>
    <xdr:to>
      <xdr:col>8</xdr:col>
      <xdr:colOff>0</xdr:colOff>
      <xdr:row>86</xdr:row>
      <xdr:rowOff>187200</xdr:rowOff>
    </xdr:to>
    <xdr:sp macro="" textlink="">
      <xdr:nvSpPr>
        <xdr:cNvPr id="117" name="Retângulo Arredondado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2627586" y="3547241"/>
          <a:ext cx="1970690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0</xdr:colOff>
      <xdr:row>85</xdr:row>
      <xdr:rowOff>59120</xdr:rowOff>
    </xdr:from>
    <xdr:to>
      <xdr:col>5</xdr:col>
      <xdr:colOff>2</xdr:colOff>
      <xdr:row>86</xdr:row>
      <xdr:rowOff>187200</xdr:rowOff>
    </xdr:to>
    <xdr:sp macro="" textlink="">
      <xdr:nvSpPr>
        <xdr:cNvPr id="118" name="Retângulo Arredondado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970690" y="3547241"/>
          <a:ext cx="65689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6</xdr:col>
      <xdr:colOff>0</xdr:colOff>
      <xdr:row>90</xdr:row>
      <xdr:rowOff>187200</xdr:rowOff>
    </xdr:to>
    <xdr:sp macro="" textlink="">
      <xdr:nvSpPr>
        <xdr:cNvPr id="119" name="Retângulo Arredondado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970690" y="4046483"/>
          <a:ext cx="1313793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90</xdr:row>
      <xdr:rowOff>0</xdr:rowOff>
    </xdr:from>
    <xdr:to>
      <xdr:col>8</xdr:col>
      <xdr:colOff>0</xdr:colOff>
      <xdr:row>90</xdr:row>
      <xdr:rowOff>187200</xdr:rowOff>
    </xdr:to>
    <xdr:sp macro="" textlink="">
      <xdr:nvSpPr>
        <xdr:cNvPr id="120" name="Retângulo Arredondado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3284483" y="4046483"/>
          <a:ext cx="1313793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7</xdr:col>
      <xdr:colOff>0</xdr:colOff>
      <xdr:row>82</xdr:row>
      <xdr:rowOff>187200</xdr:rowOff>
    </xdr:to>
    <xdr:sp macro="" textlink="">
      <xdr:nvSpPr>
        <xdr:cNvPr id="122" name="Retângulo Arredondado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3048000"/>
          <a:ext cx="3941379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85</xdr:row>
      <xdr:rowOff>59120</xdr:rowOff>
    </xdr:from>
    <xdr:to>
      <xdr:col>9</xdr:col>
      <xdr:colOff>2</xdr:colOff>
      <xdr:row>86</xdr:row>
      <xdr:rowOff>187200</xdr:rowOff>
    </xdr:to>
    <xdr:sp macro="" textlink="">
      <xdr:nvSpPr>
        <xdr:cNvPr id="123" name="Retângulo Arredondado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4598276" y="3547241"/>
          <a:ext cx="65689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2</xdr:colOff>
      <xdr:row>88</xdr:row>
      <xdr:rowOff>187200</xdr:rowOff>
    </xdr:to>
    <xdr:sp macro="" textlink="">
      <xdr:nvSpPr>
        <xdr:cNvPr id="124" name="Retângulo Arredondado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598276" y="3796862"/>
          <a:ext cx="65689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1</xdr:colOff>
      <xdr:row>90</xdr:row>
      <xdr:rowOff>187200</xdr:rowOff>
    </xdr:to>
    <xdr:sp macro="" textlink="">
      <xdr:nvSpPr>
        <xdr:cNvPr id="125" name="Retângulo Arredondado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912069" y="4046483"/>
          <a:ext cx="65689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0</xdr:colOff>
      <xdr:row>91</xdr:row>
      <xdr:rowOff>59120</xdr:rowOff>
    </xdr:from>
    <xdr:to>
      <xdr:col>11</xdr:col>
      <xdr:colOff>1</xdr:colOff>
      <xdr:row>92</xdr:row>
      <xdr:rowOff>187200</xdr:rowOff>
    </xdr:to>
    <xdr:sp macro="" textlink="">
      <xdr:nvSpPr>
        <xdr:cNvPr id="126" name="Retângulo Arredondado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5912069" y="4296103"/>
          <a:ext cx="65689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0</xdr:colOff>
      <xdr:row>94</xdr:row>
      <xdr:rowOff>0</xdr:rowOff>
    </xdr:from>
    <xdr:to>
      <xdr:col>11</xdr:col>
      <xdr:colOff>1</xdr:colOff>
      <xdr:row>94</xdr:row>
      <xdr:rowOff>187200</xdr:rowOff>
    </xdr:to>
    <xdr:sp macro="" textlink="">
      <xdr:nvSpPr>
        <xdr:cNvPr id="127" name="Retângulo Arredondado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5912069" y="4545724"/>
          <a:ext cx="65689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10</xdr:col>
      <xdr:colOff>0</xdr:colOff>
      <xdr:row>94</xdr:row>
      <xdr:rowOff>187200</xdr:rowOff>
    </xdr:to>
    <xdr:sp macro="" textlink="">
      <xdr:nvSpPr>
        <xdr:cNvPr id="128" name="Retângulo Arredondado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4598276" y="4545724"/>
          <a:ext cx="1313793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91</xdr:row>
      <xdr:rowOff>59120</xdr:rowOff>
    </xdr:from>
    <xdr:to>
      <xdr:col>10</xdr:col>
      <xdr:colOff>0</xdr:colOff>
      <xdr:row>92</xdr:row>
      <xdr:rowOff>187200</xdr:rowOff>
    </xdr:to>
    <xdr:sp macro="" textlink="">
      <xdr:nvSpPr>
        <xdr:cNvPr id="129" name="Retângulo Arredondado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4598276" y="4296103"/>
          <a:ext cx="1313793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10</xdr:col>
      <xdr:colOff>0</xdr:colOff>
      <xdr:row>90</xdr:row>
      <xdr:rowOff>187200</xdr:rowOff>
    </xdr:to>
    <xdr:sp macro="" textlink="">
      <xdr:nvSpPr>
        <xdr:cNvPr id="130" name="Retângulo Arredondado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4598276" y="4046483"/>
          <a:ext cx="1313793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656896</xdr:colOff>
      <xdr:row>88</xdr:row>
      <xdr:rowOff>0</xdr:rowOff>
    </xdr:from>
    <xdr:to>
      <xdr:col>10</xdr:col>
      <xdr:colOff>656896</xdr:colOff>
      <xdr:row>88</xdr:row>
      <xdr:rowOff>187200</xdr:rowOff>
    </xdr:to>
    <xdr:sp macro="" textlink="">
      <xdr:nvSpPr>
        <xdr:cNvPr id="131" name="Retângulo Arredondado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5255172" y="3796862"/>
          <a:ext cx="1313793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656896</xdr:colOff>
      <xdr:row>85</xdr:row>
      <xdr:rowOff>59120</xdr:rowOff>
    </xdr:from>
    <xdr:to>
      <xdr:col>10</xdr:col>
      <xdr:colOff>656896</xdr:colOff>
      <xdr:row>86</xdr:row>
      <xdr:rowOff>187200</xdr:rowOff>
    </xdr:to>
    <xdr:sp macro="" textlink="">
      <xdr:nvSpPr>
        <xdr:cNvPr id="132" name="Retângulo Arredondado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255172" y="3547241"/>
          <a:ext cx="1313793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106</xdr:row>
      <xdr:rowOff>59120</xdr:rowOff>
    </xdr:from>
    <xdr:to>
      <xdr:col>7</xdr:col>
      <xdr:colOff>0</xdr:colOff>
      <xdr:row>107</xdr:row>
      <xdr:rowOff>187200</xdr:rowOff>
    </xdr:to>
    <xdr:sp macro="" textlink="">
      <xdr:nvSpPr>
        <xdr:cNvPr id="144" name="Retângulo Arredondado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0" y="5432534"/>
          <a:ext cx="3941379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0</xdr:colOff>
      <xdr:row>106</xdr:row>
      <xdr:rowOff>59120</xdr:rowOff>
    </xdr:from>
    <xdr:to>
      <xdr:col>9</xdr:col>
      <xdr:colOff>1</xdr:colOff>
      <xdr:row>107</xdr:row>
      <xdr:rowOff>187200</xdr:rowOff>
    </xdr:to>
    <xdr:sp macro="" textlink="">
      <xdr:nvSpPr>
        <xdr:cNvPr id="145" name="Retângulo Arredondado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3941379" y="5432534"/>
          <a:ext cx="131379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656896</xdr:colOff>
      <xdr:row>106</xdr:row>
      <xdr:rowOff>59120</xdr:rowOff>
    </xdr:from>
    <xdr:to>
      <xdr:col>11</xdr:col>
      <xdr:colOff>0</xdr:colOff>
      <xdr:row>107</xdr:row>
      <xdr:rowOff>187200</xdr:rowOff>
    </xdr:to>
    <xdr:sp macro="" textlink="">
      <xdr:nvSpPr>
        <xdr:cNvPr id="146" name="Retângulo Arredondado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5255172" y="5432534"/>
          <a:ext cx="131379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121</xdr:row>
      <xdr:rowOff>0</xdr:rowOff>
    </xdr:from>
    <xdr:to>
      <xdr:col>5</xdr:col>
      <xdr:colOff>656896</xdr:colOff>
      <xdr:row>121</xdr:row>
      <xdr:rowOff>187200</xdr:rowOff>
    </xdr:to>
    <xdr:sp macro="" textlink="">
      <xdr:nvSpPr>
        <xdr:cNvPr id="149" name="Retângulo Arredondado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0" y="7179879"/>
          <a:ext cx="3284482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123</xdr:row>
      <xdr:rowOff>0</xdr:rowOff>
    </xdr:from>
    <xdr:to>
      <xdr:col>5</xdr:col>
      <xdr:colOff>656896</xdr:colOff>
      <xdr:row>123</xdr:row>
      <xdr:rowOff>187200</xdr:rowOff>
    </xdr:to>
    <xdr:sp macro="" textlink="">
      <xdr:nvSpPr>
        <xdr:cNvPr id="150" name="Retângulo Arredondado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0" y="7429500"/>
          <a:ext cx="3284482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121</xdr:row>
      <xdr:rowOff>0</xdr:rowOff>
    </xdr:from>
    <xdr:to>
      <xdr:col>7</xdr:col>
      <xdr:colOff>2</xdr:colOff>
      <xdr:row>121</xdr:row>
      <xdr:rowOff>187200</xdr:rowOff>
    </xdr:to>
    <xdr:sp macro="" textlink="">
      <xdr:nvSpPr>
        <xdr:cNvPr id="152" name="Retângulo Arredondado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3284483" y="7179879"/>
          <a:ext cx="65689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123</xdr:row>
      <xdr:rowOff>0</xdr:rowOff>
    </xdr:from>
    <xdr:to>
      <xdr:col>7</xdr:col>
      <xdr:colOff>2</xdr:colOff>
      <xdr:row>123</xdr:row>
      <xdr:rowOff>187200</xdr:rowOff>
    </xdr:to>
    <xdr:sp macro="" textlink="">
      <xdr:nvSpPr>
        <xdr:cNvPr id="153" name="Retângulo Arredondado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3284483" y="7429500"/>
          <a:ext cx="65689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125</xdr:row>
      <xdr:rowOff>0</xdr:rowOff>
    </xdr:from>
    <xdr:to>
      <xdr:col>5</xdr:col>
      <xdr:colOff>0</xdr:colOff>
      <xdr:row>125</xdr:row>
      <xdr:rowOff>186150</xdr:rowOff>
    </xdr:to>
    <xdr:sp macro="" textlink="">
      <xdr:nvSpPr>
        <xdr:cNvPr id="155" name="Retângulo Arredondado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7679121"/>
          <a:ext cx="2627586" cy="18615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125</xdr:row>
      <xdr:rowOff>0</xdr:rowOff>
    </xdr:from>
    <xdr:to>
      <xdr:col>7</xdr:col>
      <xdr:colOff>1</xdr:colOff>
      <xdr:row>125</xdr:row>
      <xdr:rowOff>187200</xdr:rowOff>
    </xdr:to>
    <xdr:sp macro="" textlink="">
      <xdr:nvSpPr>
        <xdr:cNvPr id="156" name="Retângulo Arredondado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2627586" y="7679121"/>
          <a:ext cx="131379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126</xdr:row>
      <xdr:rowOff>59120</xdr:rowOff>
    </xdr:from>
    <xdr:to>
      <xdr:col>5</xdr:col>
      <xdr:colOff>0</xdr:colOff>
      <xdr:row>127</xdr:row>
      <xdr:rowOff>186150</xdr:rowOff>
    </xdr:to>
    <xdr:sp macro="" textlink="">
      <xdr:nvSpPr>
        <xdr:cNvPr id="157" name="Retângulo Arredondado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0" y="7928741"/>
          <a:ext cx="2627586" cy="18615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126</xdr:row>
      <xdr:rowOff>59120</xdr:rowOff>
    </xdr:from>
    <xdr:to>
      <xdr:col>7</xdr:col>
      <xdr:colOff>1</xdr:colOff>
      <xdr:row>127</xdr:row>
      <xdr:rowOff>187200</xdr:rowOff>
    </xdr:to>
    <xdr:sp macro="" textlink="">
      <xdr:nvSpPr>
        <xdr:cNvPr id="158" name="Retângulo Arredondado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2627586" y="7928741"/>
          <a:ext cx="131379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131</xdr:row>
      <xdr:rowOff>0</xdr:rowOff>
    </xdr:from>
    <xdr:to>
      <xdr:col>5</xdr:col>
      <xdr:colOff>0</xdr:colOff>
      <xdr:row>131</xdr:row>
      <xdr:rowOff>186150</xdr:rowOff>
    </xdr:to>
    <xdr:sp macro="" textlink="">
      <xdr:nvSpPr>
        <xdr:cNvPr id="161" name="Retângulo Arredondado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8427983"/>
          <a:ext cx="2627586" cy="18615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0</xdr:colOff>
      <xdr:row>131</xdr:row>
      <xdr:rowOff>0</xdr:rowOff>
    </xdr:from>
    <xdr:to>
      <xdr:col>7</xdr:col>
      <xdr:colOff>1</xdr:colOff>
      <xdr:row>131</xdr:row>
      <xdr:rowOff>187200</xdr:rowOff>
    </xdr:to>
    <xdr:sp macro="" textlink="">
      <xdr:nvSpPr>
        <xdr:cNvPr id="162" name="Retângulo Arredondado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2627586" y="8427983"/>
          <a:ext cx="131379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0</xdr:colOff>
      <xdr:row>129</xdr:row>
      <xdr:rowOff>0</xdr:rowOff>
    </xdr:from>
    <xdr:to>
      <xdr:col>6</xdr:col>
      <xdr:colOff>1</xdr:colOff>
      <xdr:row>129</xdr:row>
      <xdr:rowOff>187200</xdr:rowOff>
    </xdr:to>
    <xdr:sp macro="" textlink="">
      <xdr:nvSpPr>
        <xdr:cNvPr id="163" name="Retângulo Arredondado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970690" y="8178362"/>
          <a:ext cx="131379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129</xdr:row>
      <xdr:rowOff>0</xdr:rowOff>
    </xdr:from>
    <xdr:to>
      <xdr:col>3</xdr:col>
      <xdr:colOff>1</xdr:colOff>
      <xdr:row>129</xdr:row>
      <xdr:rowOff>187200</xdr:rowOff>
    </xdr:to>
    <xdr:sp macro="" textlink="">
      <xdr:nvSpPr>
        <xdr:cNvPr id="164" name="Retângulo Arredondado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8178362"/>
          <a:ext cx="1313794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0</xdr:colOff>
      <xdr:row>129</xdr:row>
      <xdr:rowOff>0</xdr:rowOff>
    </xdr:from>
    <xdr:to>
      <xdr:col>4</xdr:col>
      <xdr:colOff>1</xdr:colOff>
      <xdr:row>129</xdr:row>
      <xdr:rowOff>187200</xdr:rowOff>
    </xdr:to>
    <xdr:sp macro="" textlink="">
      <xdr:nvSpPr>
        <xdr:cNvPr id="165" name="Retângulo Arredondado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1313793" y="8178362"/>
          <a:ext cx="65689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0</xdr:colOff>
      <xdr:row>129</xdr:row>
      <xdr:rowOff>0</xdr:rowOff>
    </xdr:from>
    <xdr:to>
      <xdr:col>7</xdr:col>
      <xdr:colOff>2</xdr:colOff>
      <xdr:row>129</xdr:row>
      <xdr:rowOff>187200</xdr:rowOff>
    </xdr:to>
    <xdr:sp macro="" textlink="">
      <xdr:nvSpPr>
        <xdr:cNvPr id="166" name="Retângulo Arredondado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3284483" y="8178362"/>
          <a:ext cx="656898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7</xdr:col>
      <xdr:colOff>0</xdr:colOff>
      <xdr:row>119</xdr:row>
      <xdr:rowOff>187200</xdr:rowOff>
    </xdr:to>
    <xdr:sp macro="" textlink="">
      <xdr:nvSpPr>
        <xdr:cNvPr id="106" name="Retângulo Arredondado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6930259"/>
          <a:ext cx="3941379" cy="18720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10</xdr:col>
      <xdr:colOff>656896</xdr:colOff>
      <xdr:row>119</xdr:row>
      <xdr:rowOff>186150</xdr:rowOff>
    </xdr:to>
    <xdr:sp macro="" textlink="">
      <xdr:nvSpPr>
        <xdr:cNvPr id="107" name="Retângulo Arredondado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3941379" y="6930259"/>
          <a:ext cx="2627586" cy="186150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183931</xdr:colOff>
      <xdr:row>121</xdr:row>
      <xdr:rowOff>151086</xdr:rowOff>
    </xdr:from>
    <xdr:to>
      <xdr:col>8</xdr:col>
      <xdr:colOff>31035</xdr:colOff>
      <xdr:row>125</xdr:row>
      <xdr:rowOff>155845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5310" y="7330965"/>
          <a:ext cx="504000" cy="5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151087</xdr:colOff>
      <xdr:row>127</xdr:row>
      <xdr:rowOff>65689</xdr:rowOff>
    </xdr:from>
    <xdr:to>
      <xdr:col>7</xdr:col>
      <xdr:colOff>655087</xdr:colOff>
      <xdr:row>131</xdr:row>
      <xdr:rowOff>70448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2466" y="7994430"/>
          <a:ext cx="504000" cy="50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</xdr:colOff>
      <xdr:row>45</xdr:row>
      <xdr:rowOff>0</xdr:rowOff>
    </xdr:from>
    <xdr:to>
      <xdr:col>6</xdr:col>
      <xdr:colOff>240030</xdr:colOff>
      <xdr:row>59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350520</xdr:colOff>
      <xdr:row>45</xdr:row>
      <xdr:rowOff>0</xdr:rowOff>
    </xdr:from>
    <xdr:to>
      <xdr:col>14</xdr:col>
      <xdr:colOff>15571</xdr:colOff>
      <xdr:row>59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45</xdr:row>
      <xdr:rowOff>0</xdr:rowOff>
    </xdr:from>
    <xdr:to>
      <xdr:col>22</xdr:col>
      <xdr:colOff>144117</xdr:colOff>
      <xdr:row>59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tem\OneDrive\Documentos\SOLVE_ENERGY\Or&#231;amentos\MODELO%20-%20Contra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MENSIONAMENTO"/>
      <sheetName val="PROPOSTA"/>
      <sheetName val="CONTRATO"/>
      <sheetName val="MEMORIAL"/>
      <sheetName val="CUSTOS"/>
      <sheetName val="&lt;=10kW"/>
      <sheetName val="&gt;10kW"/>
      <sheetName val="DADOS"/>
      <sheetName val="IGH"/>
      <sheetName val="LAT"/>
      <sheetName val="IDN"/>
    </sheetNames>
    <sheetDataSet>
      <sheetData sheetId="0">
        <row r="9">
          <cell r="J9">
            <v>5.54</v>
          </cell>
          <cell r="K9">
            <v>5.66</v>
          </cell>
          <cell r="L9">
            <v>5.76</v>
          </cell>
          <cell r="M9">
            <v>5.23</v>
          </cell>
          <cell r="N9">
            <v>4.62</v>
          </cell>
          <cell r="O9">
            <v>4.0599999999999996</v>
          </cell>
          <cell r="P9">
            <v>4.16</v>
          </cell>
          <cell r="Q9">
            <v>4.8899999999999997</v>
          </cell>
          <cell r="R9">
            <v>5.49</v>
          </cell>
          <cell r="S9">
            <v>5.75</v>
          </cell>
          <cell r="T9">
            <v>5.99</v>
          </cell>
          <cell r="U9">
            <v>5.76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zalho@hotmail.com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showGridLines="0" view="pageLayout" topLeftCell="A4" zoomScale="145" zoomScaleNormal="100" zoomScalePageLayoutView="145" workbookViewId="0">
      <selection activeCell="B23" sqref="B23"/>
    </sheetView>
  </sheetViews>
  <sheetFormatPr defaultRowHeight="15" x14ac:dyDescent="0.25"/>
  <cols>
    <col min="1" max="1" width="4.5703125" customWidth="1"/>
    <col min="11" max="11" width="12.42578125" bestFit="1" customWidth="1"/>
    <col min="12" max="12" width="2.85546875" customWidth="1"/>
  </cols>
  <sheetData>
    <row r="1" spans="1:12" ht="16.5" customHeight="1" x14ac:dyDescent="0.3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16.5" customHeight="1" x14ac:dyDescent="0.3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6.5" customHeight="1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ht="16.5" customHeight="1" x14ac:dyDescent="0.3">
      <c r="A4" s="45"/>
      <c r="B4" s="45"/>
      <c r="C4" s="45"/>
      <c r="D4" s="45"/>
      <c r="E4" s="45"/>
      <c r="F4" s="45"/>
      <c r="G4" s="45"/>
      <c r="H4" s="45"/>
      <c r="I4" s="45"/>
      <c r="J4" s="45"/>
      <c r="K4" s="47"/>
      <c r="L4" s="45"/>
    </row>
    <row r="5" spans="1:12" ht="16.5" customHeight="1" x14ac:dyDescent="0.3">
      <c r="A5" s="45"/>
      <c r="B5" s="45"/>
      <c r="C5" s="45"/>
      <c r="D5" s="45"/>
      <c r="E5" s="45"/>
      <c r="F5" s="45"/>
      <c r="G5" s="45"/>
      <c r="H5" s="45"/>
      <c r="I5" s="75" t="s">
        <v>126</v>
      </c>
      <c r="J5" s="75"/>
      <c r="K5" s="75"/>
      <c r="L5" s="45"/>
    </row>
    <row r="6" spans="1:12" ht="16.5" customHeight="1" x14ac:dyDescent="0.3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</row>
    <row r="7" spans="1:12" ht="16.5" customHeight="1" x14ac:dyDescent="0.3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1:12" ht="16.5" customHeight="1" x14ac:dyDescent="0.3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</row>
    <row r="9" spans="1:12" ht="16.5" customHeight="1" x14ac:dyDescent="0.3">
      <c r="A9" s="45"/>
      <c r="B9" s="45"/>
      <c r="C9" s="45"/>
      <c r="D9" s="45"/>
      <c r="E9" s="45"/>
      <c r="F9" s="45"/>
      <c r="G9" s="45"/>
      <c r="H9" s="45"/>
      <c r="I9" s="45"/>
      <c r="J9" s="46"/>
      <c r="K9" s="45"/>
      <c r="L9" s="45"/>
    </row>
    <row r="10" spans="1:12" ht="16.5" customHeight="1" x14ac:dyDescent="0.3">
      <c r="A10" s="45"/>
      <c r="B10" s="44" t="s">
        <v>125</v>
      </c>
      <c r="D10" s="45"/>
      <c r="E10" s="45"/>
      <c r="F10" s="45"/>
      <c r="G10" s="45"/>
      <c r="H10" s="45"/>
      <c r="I10" s="45"/>
      <c r="K10" s="45"/>
      <c r="L10" s="45"/>
    </row>
    <row r="11" spans="1:12" ht="16.5" customHeight="1" x14ac:dyDescent="0.3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2" ht="16.5" customHeight="1" x14ac:dyDescent="0.3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spans="1:12" ht="16.5" customHeight="1" x14ac:dyDescent="0.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spans="1:12" ht="16.5" customHeight="1" x14ac:dyDescent="0.3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</row>
    <row r="15" spans="1:12" ht="16.5" customHeight="1" x14ac:dyDescent="0.3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</row>
    <row r="16" spans="1:12" ht="16.5" customHeight="1" x14ac:dyDescent="0.3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</row>
    <row r="17" spans="1:12" ht="16.5" customHeight="1" x14ac:dyDescent="0.3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</row>
    <row r="18" spans="1:12" ht="16.5" customHeight="1" x14ac:dyDescent="0.3">
      <c r="A18" s="45"/>
      <c r="B18" s="76" t="s">
        <v>127</v>
      </c>
      <c r="C18" s="77"/>
      <c r="D18" s="77"/>
      <c r="E18" s="77"/>
      <c r="F18" s="77"/>
      <c r="G18" s="77"/>
      <c r="H18" s="77"/>
      <c r="I18" s="77"/>
      <c r="J18" s="77"/>
      <c r="K18" s="77"/>
      <c r="L18" s="45"/>
    </row>
    <row r="19" spans="1:12" ht="16.5" customHeight="1" x14ac:dyDescent="0.3">
      <c r="A19" s="45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45"/>
    </row>
    <row r="20" spans="1:12" ht="16.5" customHeight="1" x14ac:dyDescent="0.3">
      <c r="A20" s="45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45"/>
    </row>
    <row r="21" spans="1:12" ht="16.5" customHeight="1" x14ac:dyDescent="0.3">
      <c r="A21" s="45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45"/>
    </row>
    <row r="22" spans="1:12" ht="16.5" customHeight="1" x14ac:dyDescent="0.3">
      <c r="A22" s="45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45"/>
    </row>
    <row r="23" spans="1:12" ht="16.5" customHeight="1" x14ac:dyDescent="0.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</row>
    <row r="24" spans="1:12" ht="16.5" customHeight="1" x14ac:dyDescent="0.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</row>
    <row r="25" spans="1:12" ht="16.5" customHeight="1" x14ac:dyDescent="0.3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</row>
    <row r="26" spans="1:12" ht="16.5" customHeight="1" x14ac:dyDescent="0.3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2" ht="16.5" customHeight="1" x14ac:dyDescent="0.3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</row>
    <row r="28" spans="1:12" ht="16.5" customHeight="1" x14ac:dyDescent="0.3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</row>
    <row r="29" spans="1:12" ht="16.5" customHeight="1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</row>
    <row r="30" spans="1:12" ht="16.5" customHeight="1" x14ac:dyDescent="0.3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</row>
    <row r="31" spans="1:12" ht="16.5" customHeight="1" x14ac:dyDescent="0.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</row>
    <row r="32" spans="1:12" ht="16.5" customHeight="1" x14ac:dyDescent="0.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</row>
    <row r="33" spans="1:12" ht="16.5" customHeight="1" x14ac:dyDescent="0.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</row>
    <row r="34" spans="1:12" ht="16.5" customHeight="1" x14ac:dyDescent="0.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</row>
    <row r="35" spans="1:12" ht="16.5" customHeight="1" x14ac:dyDescent="0.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</row>
    <row r="36" spans="1:12" ht="16.5" customHeight="1" x14ac:dyDescent="0.3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</row>
    <row r="37" spans="1:12" ht="16.5" customHeight="1" x14ac:dyDescent="0.3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</row>
    <row r="38" spans="1:12" ht="16.5" customHeight="1" x14ac:dyDescent="0.3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</row>
    <row r="39" spans="1:12" ht="16.5" customHeight="1" x14ac:dyDescent="0.3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</row>
    <row r="40" spans="1:12" ht="16.5" customHeight="1" x14ac:dyDescent="0.3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</row>
    <row r="41" spans="1:12" ht="16.5" customHeight="1" x14ac:dyDescent="0.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</row>
    <row r="42" spans="1:12" ht="16.5" customHeight="1" x14ac:dyDescent="0.3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</row>
    <row r="43" spans="1:12" ht="16.5" customHeight="1" x14ac:dyDescent="0.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</row>
    <row r="44" spans="1:12" ht="16.5" customHeight="1" x14ac:dyDescent="0.3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</row>
    <row r="45" spans="1:12" ht="16.5" customHeight="1" x14ac:dyDescent="0.3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</row>
    <row r="46" spans="1:12" ht="16.5" customHeight="1" x14ac:dyDescent="0.3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</row>
    <row r="47" spans="1:12" ht="16.5" customHeight="1" x14ac:dyDescent="0.3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</row>
    <row r="48" spans="1:12" ht="16.5" customHeight="1" x14ac:dyDescent="0.3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</row>
    <row r="49" spans="1:12" ht="16.5" customHeight="1" x14ac:dyDescent="0.3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</row>
    <row r="50" spans="1:12" ht="16.5" customHeight="1" x14ac:dyDescent="0.3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</row>
    <row r="51" spans="1:12" ht="16.5" customHeight="1" x14ac:dyDescent="0.3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12" ht="16.5" customHeight="1" x14ac:dyDescent="0.3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spans="1:12" ht="16.5" customHeight="1" x14ac:dyDescent="0.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 ht="16.5" customHeight="1" x14ac:dyDescent="0.3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</row>
    <row r="55" spans="1:12" ht="16.5" customHeight="1" x14ac:dyDescent="0.3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</row>
    <row r="56" spans="1:12" ht="16.5" customHeight="1" x14ac:dyDescent="0.3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</row>
    <row r="57" spans="1:12" ht="16.5" customHeight="1" x14ac:dyDescent="0.3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</row>
    <row r="58" spans="1:12" ht="4.5" customHeight="1" x14ac:dyDescent="0.3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2" ht="4.5" customHeight="1" x14ac:dyDescent="0.3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 ht="4.5" customHeight="1" x14ac:dyDescent="0.3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 ht="4.5" customHeight="1" x14ac:dyDescent="0.25"/>
    <row r="62" spans="1:12" ht="16.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2" ht="16.5" customHeigh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2" x14ac:dyDescent="0.25">
      <c r="B64" s="85" t="s">
        <v>18</v>
      </c>
      <c r="C64" s="85"/>
      <c r="D64" s="94" t="s">
        <v>110</v>
      </c>
      <c r="E64" s="94"/>
      <c r="F64" s="94"/>
      <c r="G64" s="94"/>
      <c r="H64" s="85" t="s">
        <v>14</v>
      </c>
      <c r="I64" s="85"/>
      <c r="J64" s="74" t="s">
        <v>111</v>
      </c>
      <c r="K64" s="74"/>
    </row>
    <row r="65" spans="2:11" ht="3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x14ac:dyDescent="0.25">
      <c r="B66" s="85" t="s">
        <v>12</v>
      </c>
      <c r="C66" s="95"/>
      <c r="D66" s="96" t="s">
        <v>112</v>
      </c>
      <c r="E66" s="96"/>
      <c r="F66" s="96"/>
      <c r="G66" s="96"/>
      <c r="H66" s="85" t="s">
        <v>13</v>
      </c>
      <c r="I66" s="85"/>
      <c r="J66" s="74" t="s">
        <v>113</v>
      </c>
      <c r="K66" s="74"/>
    </row>
    <row r="67" spans="2:11" ht="3" customHeight="1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2:11" x14ac:dyDescent="0.25">
      <c r="B68" s="8" t="s">
        <v>15</v>
      </c>
      <c r="C68" s="74" t="s">
        <v>114</v>
      </c>
      <c r="D68" s="74"/>
      <c r="E68" s="74"/>
      <c r="F68" s="74"/>
      <c r="G68" s="8" t="s">
        <v>16</v>
      </c>
      <c r="H68" s="10" t="s">
        <v>6</v>
      </c>
      <c r="I68" s="8" t="s">
        <v>17</v>
      </c>
      <c r="J68" s="74" t="s">
        <v>115</v>
      </c>
      <c r="K68" s="74"/>
    </row>
    <row r="69" spans="2:11" ht="3" customHeight="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2:11" x14ac:dyDescent="0.25">
      <c r="B70" s="8" t="s">
        <v>19</v>
      </c>
      <c r="C70" s="74" t="s">
        <v>116</v>
      </c>
      <c r="D70" s="74"/>
      <c r="E70" s="8" t="s">
        <v>20</v>
      </c>
      <c r="F70" s="92" t="s">
        <v>117</v>
      </c>
      <c r="G70" s="74"/>
      <c r="H70" s="74"/>
      <c r="I70" s="8" t="s">
        <v>21</v>
      </c>
      <c r="J70" s="40" t="s">
        <v>120</v>
      </c>
      <c r="K70" s="40" t="s">
        <v>121</v>
      </c>
    </row>
    <row r="71" spans="2:11" ht="16.5" customHeight="1" x14ac:dyDescent="0.25">
      <c r="B71" s="8"/>
      <c r="C71" s="10"/>
      <c r="D71" s="10"/>
      <c r="E71" s="8"/>
      <c r="F71" s="16"/>
      <c r="G71" s="10"/>
      <c r="H71" s="10"/>
      <c r="I71" s="8"/>
      <c r="J71" s="17"/>
      <c r="K71" s="17"/>
    </row>
    <row r="72" spans="2:11" ht="4.5" customHeight="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2:11" ht="16.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 ht="16.5" customHeight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25">
      <c r="B75" s="85" t="s">
        <v>22</v>
      </c>
      <c r="C75" s="85"/>
      <c r="D75" s="74" t="s">
        <v>118</v>
      </c>
      <c r="E75" s="74"/>
      <c r="F75" s="74"/>
      <c r="G75" s="85" t="s">
        <v>23</v>
      </c>
      <c r="H75" s="85"/>
      <c r="I75" s="93" t="s">
        <v>119</v>
      </c>
      <c r="J75" s="93"/>
      <c r="K75" s="93"/>
    </row>
    <row r="76" spans="2:11" ht="3" customHeight="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2:11" x14ac:dyDescent="0.25">
      <c r="B77" s="85" t="s">
        <v>27</v>
      </c>
      <c r="C77" s="85"/>
      <c r="D77" s="74" t="s">
        <v>33</v>
      </c>
      <c r="E77" s="74"/>
      <c r="F77" s="85" t="s">
        <v>28</v>
      </c>
      <c r="G77" s="85"/>
      <c r="H77" s="85"/>
      <c r="I77" s="14">
        <v>1500</v>
      </c>
      <c r="J77" s="8" t="s">
        <v>29</v>
      </c>
      <c r="K77" s="12">
        <v>0.72</v>
      </c>
    </row>
    <row r="78" spans="2:11" ht="3" customHeight="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2:11" x14ac:dyDescent="0.25">
      <c r="B79" s="85" t="s">
        <v>34</v>
      </c>
      <c r="C79" s="85"/>
      <c r="D79" s="85"/>
      <c r="E79" s="14">
        <f>$I$77</f>
        <v>1500</v>
      </c>
      <c r="F79" s="85" t="s">
        <v>26</v>
      </c>
      <c r="G79" s="85"/>
      <c r="H79" s="85"/>
      <c r="I79" s="74" t="s">
        <v>37</v>
      </c>
      <c r="J79" s="74"/>
      <c r="K79" s="74"/>
    </row>
    <row r="80" spans="2:11" ht="16.5" customHeight="1" x14ac:dyDescent="0.25">
      <c r="B80" s="8"/>
      <c r="C80" s="8"/>
      <c r="D80" s="8"/>
      <c r="E80" s="14"/>
      <c r="F80" s="8"/>
      <c r="G80" s="8"/>
      <c r="H80" s="8"/>
      <c r="I80" s="10"/>
      <c r="J80" s="10"/>
      <c r="K80" s="10"/>
    </row>
    <row r="81" spans="2:11" ht="16.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 ht="16.5" customHeight="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 x14ac:dyDescent="0.25">
      <c r="B83" s="84" t="s">
        <v>53</v>
      </c>
      <c r="C83" s="84"/>
      <c r="D83" s="84"/>
      <c r="E83" s="84"/>
      <c r="F83" s="84"/>
      <c r="G83" s="84"/>
      <c r="H83" s="87" t="s">
        <v>42</v>
      </c>
      <c r="I83" s="87"/>
      <c r="J83" s="87"/>
      <c r="K83" s="19">
        <f>($D$91*$D$93)/1000</f>
        <v>11.34</v>
      </c>
    </row>
    <row r="84" spans="2:11" ht="4.5" customHeight="1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2:11" x14ac:dyDescent="0.25">
      <c r="B85" s="91" t="s">
        <v>45</v>
      </c>
      <c r="C85" s="91"/>
      <c r="D85" s="91"/>
      <c r="E85" s="85" t="s">
        <v>44</v>
      </c>
      <c r="F85" s="85"/>
      <c r="G85" s="85"/>
      <c r="H85" s="85"/>
      <c r="I85" s="85" t="s">
        <v>43</v>
      </c>
      <c r="J85" s="85"/>
      <c r="K85" s="85"/>
    </row>
    <row r="86" spans="2:11" ht="4.5" customHeight="1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2:11" x14ac:dyDescent="0.25">
      <c r="B87" s="9" t="s">
        <v>46</v>
      </c>
      <c r="C87" s="74" t="s">
        <v>52</v>
      </c>
      <c r="D87" s="74"/>
      <c r="E87" s="9" t="s">
        <v>46</v>
      </c>
      <c r="F87" s="74" t="s">
        <v>52</v>
      </c>
      <c r="G87" s="74"/>
      <c r="H87" s="74"/>
      <c r="I87" s="9" t="s">
        <v>46</v>
      </c>
      <c r="J87" s="86" t="s">
        <v>56</v>
      </c>
      <c r="K87" s="86"/>
    </row>
    <row r="88" spans="2:11" ht="4.5" customHeight="1" x14ac:dyDescent="0.25">
      <c r="B88" s="9"/>
      <c r="C88" s="5"/>
      <c r="D88" s="5"/>
      <c r="E88" s="5"/>
      <c r="F88" s="5"/>
      <c r="G88" s="5"/>
      <c r="H88" s="5"/>
      <c r="I88" s="5"/>
      <c r="J88" s="5"/>
      <c r="K88" s="5"/>
    </row>
    <row r="89" spans="2:11" x14ac:dyDescent="0.25">
      <c r="B89" s="9" t="s">
        <v>47</v>
      </c>
      <c r="C89" s="74" t="s">
        <v>124</v>
      </c>
      <c r="D89" s="74"/>
      <c r="E89" s="9" t="s">
        <v>47</v>
      </c>
      <c r="F89" s="74" t="s">
        <v>122</v>
      </c>
      <c r="G89" s="74"/>
      <c r="H89" s="74"/>
      <c r="I89" s="9" t="s">
        <v>47</v>
      </c>
      <c r="J89" s="86" t="s">
        <v>57</v>
      </c>
      <c r="K89" s="86"/>
    </row>
    <row r="90" spans="2:11" ht="4.5" customHeight="1" x14ac:dyDescent="0.25">
      <c r="B90" s="9"/>
      <c r="C90" s="5"/>
      <c r="D90" s="5"/>
      <c r="E90" s="5"/>
      <c r="F90" s="5"/>
      <c r="G90" s="5"/>
      <c r="H90" s="5"/>
      <c r="I90" s="5"/>
      <c r="J90" s="5"/>
      <c r="K90" s="5"/>
    </row>
    <row r="91" spans="2:11" x14ac:dyDescent="0.25">
      <c r="B91" s="80" t="s">
        <v>50</v>
      </c>
      <c r="C91" s="80"/>
      <c r="D91" s="10">
        <v>405</v>
      </c>
      <c r="E91" s="80" t="s">
        <v>51</v>
      </c>
      <c r="F91" s="80"/>
      <c r="G91" s="90">
        <v>10</v>
      </c>
      <c r="H91" s="90"/>
      <c r="I91" s="80" t="s">
        <v>48</v>
      </c>
      <c r="J91" s="80"/>
      <c r="K91" s="6">
        <f>$D$93</f>
        <v>28</v>
      </c>
    </row>
    <row r="92" spans="2:11" ht="4.5" customHeight="1" x14ac:dyDescent="0.25">
      <c r="B92" s="18"/>
      <c r="C92" s="18"/>
      <c r="D92" s="5"/>
      <c r="E92" s="5"/>
      <c r="F92" s="5"/>
      <c r="G92" s="5"/>
      <c r="H92" s="5"/>
      <c r="I92" s="5"/>
      <c r="J92" s="5"/>
      <c r="K92" s="5"/>
    </row>
    <row r="93" spans="2:11" x14ac:dyDescent="0.25">
      <c r="B93" s="80" t="s">
        <v>48</v>
      </c>
      <c r="C93" s="80"/>
      <c r="D93" s="10">
        <v>28</v>
      </c>
      <c r="E93" s="85" t="s">
        <v>48</v>
      </c>
      <c r="F93" s="85"/>
      <c r="G93" s="74">
        <v>1</v>
      </c>
      <c r="H93" s="74"/>
      <c r="I93" s="80" t="s">
        <v>54</v>
      </c>
      <c r="J93" s="80"/>
      <c r="K93" s="20" t="s">
        <v>123</v>
      </c>
    </row>
    <row r="94" spans="2:11" ht="4.5" customHeight="1" x14ac:dyDescent="0.25">
      <c r="B94" s="18"/>
      <c r="C94" s="18"/>
      <c r="D94" s="5"/>
      <c r="E94" s="5"/>
      <c r="F94" s="5"/>
      <c r="G94" s="5"/>
      <c r="H94" s="5"/>
      <c r="I94" s="5"/>
      <c r="J94" s="5"/>
      <c r="K94" s="5"/>
    </row>
    <row r="95" spans="2:11" x14ac:dyDescent="0.25">
      <c r="B95" s="80" t="s">
        <v>49</v>
      </c>
      <c r="C95" s="80"/>
      <c r="D95" s="10">
        <v>12</v>
      </c>
      <c r="E95" s="85" t="s">
        <v>49</v>
      </c>
      <c r="F95" s="85"/>
      <c r="G95" s="74">
        <v>6</v>
      </c>
      <c r="H95" s="74"/>
      <c r="I95" s="80" t="s">
        <v>55</v>
      </c>
      <c r="J95" s="80"/>
      <c r="K95" s="6">
        <v>1</v>
      </c>
    </row>
    <row r="96" spans="2:11" ht="4.5" customHeight="1" x14ac:dyDescent="0.25">
      <c r="B96" s="80"/>
      <c r="C96" s="80"/>
      <c r="D96" s="11"/>
      <c r="F96" s="5"/>
      <c r="G96" s="5"/>
      <c r="H96" s="5"/>
      <c r="I96" s="5"/>
      <c r="J96" s="5"/>
      <c r="K96" s="5"/>
    </row>
    <row r="97" spans="2:11" x14ac:dyDescent="0.25">
      <c r="B97" s="5"/>
      <c r="C97" s="89" t="str">
        <f>"*"&amp;$D$95&amp;" anos para defeitos de fabricação e 25 anos de garantia de performance linear de geração."</f>
        <v>*12 anos para defeitos de fabricação e 25 anos de garantia de performance linear de geração.</v>
      </c>
      <c r="D97" s="89"/>
      <c r="E97" s="89"/>
      <c r="F97" s="89"/>
      <c r="G97" s="89"/>
      <c r="H97" s="89"/>
      <c r="I97" s="89"/>
      <c r="J97" s="89"/>
      <c r="K97" s="89"/>
    </row>
    <row r="98" spans="2:11" x14ac:dyDescent="0.25">
      <c r="B98" s="5"/>
      <c r="C98" s="89" t="s">
        <v>109</v>
      </c>
      <c r="D98" s="89"/>
      <c r="E98" s="89"/>
      <c r="F98" s="89"/>
      <c r="G98" s="89"/>
      <c r="H98" s="89"/>
      <c r="I98" s="89"/>
      <c r="J98" s="89"/>
      <c r="K98" s="89"/>
    </row>
    <row r="99" spans="2:11" x14ac:dyDescent="0.25">
      <c r="B99" s="5"/>
      <c r="C99" s="43"/>
      <c r="D99" s="43"/>
      <c r="E99" s="43"/>
      <c r="F99" s="43"/>
      <c r="G99" s="43"/>
      <c r="H99" s="43"/>
      <c r="I99" s="43"/>
      <c r="J99" s="43"/>
      <c r="K99" s="43"/>
    </row>
    <row r="100" spans="2:11" x14ac:dyDescent="0.25">
      <c r="B100" s="5"/>
      <c r="C100" s="43"/>
      <c r="D100" s="43"/>
      <c r="E100" s="43"/>
      <c r="F100" s="43"/>
      <c r="G100" s="43"/>
      <c r="H100" s="43"/>
      <c r="I100" s="43"/>
      <c r="J100" s="43"/>
      <c r="K100" s="43"/>
    </row>
    <row r="101" spans="2:11" x14ac:dyDescent="0.25">
      <c r="B101" s="5"/>
      <c r="C101" s="43"/>
      <c r="D101" s="43"/>
      <c r="E101" s="43"/>
      <c r="F101" s="43"/>
      <c r="G101" s="43"/>
      <c r="H101" s="43"/>
      <c r="I101" s="43"/>
      <c r="J101" s="43"/>
      <c r="K101" s="43"/>
    </row>
    <row r="102" spans="2:11" x14ac:dyDescent="0.25">
      <c r="B102" s="5"/>
      <c r="C102" s="43"/>
      <c r="D102" s="43"/>
      <c r="E102" s="43"/>
      <c r="F102" s="43"/>
      <c r="G102" s="43"/>
      <c r="H102" s="43"/>
      <c r="I102" s="43"/>
      <c r="J102" s="43"/>
      <c r="K102" s="43"/>
    </row>
    <row r="103" spans="2:11" ht="4.5" customHeight="1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2:11" ht="4.5" customHeight="1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2:11" ht="16.5" x14ac:dyDescent="0.25">
      <c r="B105" s="77"/>
      <c r="C105" s="77"/>
      <c r="D105" s="77"/>
      <c r="E105" s="77"/>
      <c r="F105" s="77"/>
      <c r="G105" s="77"/>
      <c r="H105" s="77"/>
      <c r="I105" s="77"/>
      <c r="J105" s="77"/>
      <c r="K105" s="77"/>
    </row>
    <row r="106" spans="2:11" ht="4.5" customHeight="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2:11" ht="4.5" customHeight="1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2:11" x14ac:dyDescent="0.25">
      <c r="B108" s="84" t="s">
        <v>59</v>
      </c>
      <c r="C108" s="84"/>
      <c r="D108" s="84"/>
      <c r="E108" s="84"/>
      <c r="F108" s="84"/>
      <c r="G108" s="84"/>
      <c r="H108" s="87" t="s">
        <v>58</v>
      </c>
      <c r="I108" s="87"/>
      <c r="J108" s="88">
        <v>59000</v>
      </c>
      <c r="K108" s="88"/>
    </row>
    <row r="109" spans="2:11" ht="4.5" customHeight="1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2:11" s="22" customFormat="1" ht="4.5" customHeight="1" x14ac:dyDescent="0.25">
      <c r="B110" s="21"/>
      <c r="C110" s="21"/>
      <c r="D110" s="21"/>
      <c r="E110" s="21"/>
      <c r="F110" s="21"/>
      <c r="G110" s="21"/>
      <c r="H110" s="21"/>
      <c r="I110" s="21"/>
      <c r="J110" s="21"/>
      <c r="K110" s="21"/>
    </row>
    <row r="111" spans="2:11" x14ac:dyDescent="0.25">
      <c r="B111" s="80"/>
      <c r="C111" s="80"/>
      <c r="D111" s="81"/>
      <c r="E111" s="81"/>
      <c r="F111" s="81"/>
      <c r="G111" s="80"/>
      <c r="H111" s="80"/>
      <c r="I111" s="81"/>
      <c r="J111" s="81"/>
      <c r="K111" s="81"/>
    </row>
    <row r="112" spans="2:11" ht="4.5" customHeight="1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2:11" x14ac:dyDescent="0.25">
      <c r="B113" s="80"/>
      <c r="C113" s="80"/>
      <c r="D113" s="81"/>
      <c r="E113" s="81"/>
      <c r="F113" s="81"/>
      <c r="G113" s="80"/>
      <c r="H113" s="80"/>
      <c r="I113" s="81"/>
      <c r="J113" s="81"/>
      <c r="K113" s="81"/>
    </row>
    <row r="114" spans="2:11" ht="4.5" customHeight="1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2:11" x14ac:dyDescent="0.25">
      <c r="B115" s="83" t="s">
        <v>61</v>
      </c>
      <c r="C115" s="83"/>
      <c r="D115" s="83"/>
      <c r="E115" s="83"/>
      <c r="F115" s="83"/>
      <c r="G115" s="83"/>
      <c r="H115" s="83"/>
      <c r="I115" s="83"/>
      <c r="J115" s="83"/>
      <c r="K115" s="83"/>
    </row>
    <row r="116" spans="2:11" ht="4.5" customHeight="1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2:11" x14ac:dyDescent="0.25">
      <c r="B117" s="71" t="s">
        <v>60</v>
      </c>
      <c r="C117" s="71"/>
      <c r="D117" s="71"/>
      <c r="E117" s="71"/>
      <c r="F117" s="71"/>
      <c r="G117" s="71"/>
      <c r="H117" s="71"/>
      <c r="I117" s="71"/>
      <c r="J117" s="71"/>
      <c r="K117" s="71"/>
    </row>
    <row r="118" spans="2:11" x14ac:dyDescent="0.25"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spans="2:11" ht="4.5" customHeight="1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2:11" x14ac:dyDescent="0.25">
      <c r="B120" s="84" t="s">
        <v>62</v>
      </c>
      <c r="C120" s="84"/>
      <c r="D120" s="84"/>
      <c r="E120" s="84"/>
      <c r="F120" s="84"/>
      <c r="G120" s="84"/>
      <c r="H120" s="85" t="s">
        <v>100</v>
      </c>
      <c r="I120" s="85"/>
      <c r="J120" s="85"/>
      <c r="K120" s="85"/>
    </row>
    <row r="121" spans="2:11" ht="4.5" customHeight="1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2:11" x14ac:dyDescent="0.25">
      <c r="B122" s="72" t="s">
        <v>63</v>
      </c>
      <c r="C122" s="72"/>
      <c r="D122" s="72"/>
      <c r="E122" s="72"/>
      <c r="F122" s="72"/>
      <c r="G122" s="24">
        <f>MEDIAN(Dados!D12:O12)</f>
        <v>666.9</v>
      </c>
      <c r="H122" s="86"/>
      <c r="I122" s="71" t="str">
        <f>" "&amp;Dados!$B$43&amp;" toneladas de CO2 não emitidas na atmosfera"</f>
        <v xml:space="preserve"> 132,75 toneladas de CO2 não emitidas na atmosfera</v>
      </c>
      <c r="J122" s="71"/>
      <c r="K122" s="71"/>
    </row>
    <row r="123" spans="2:11" ht="4.5" customHeight="1" x14ac:dyDescent="0.25">
      <c r="B123" s="1"/>
      <c r="C123" s="1"/>
      <c r="D123" s="1"/>
      <c r="E123" s="1"/>
      <c r="F123" s="1"/>
      <c r="G123" s="1"/>
      <c r="H123" s="86"/>
      <c r="I123" s="71"/>
      <c r="J123" s="71"/>
      <c r="K123" s="71"/>
    </row>
    <row r="124" spans="2:11" x14ac:dyDescent="0.25">
      <c r="B124" s="72" t="s">
        <v>64</v>
      </c>
      <c r="C124" s="72"/>
      <c r="D124" s="72"/>
      <c r="E124" s="72"/>
      <c r="F124" s="72"/>
      <c r="G124" s="24">
        <f>Dados!$P$12</f>
        <v>8226.8222399999977</v>
      </c>
      <c r="H124" s="86"/>
      <c r="I124" s="71"/>
      <c r="J124" s="71"/>
      <c r="K124" s="71"/>
    </row>
    <row r="125" spans="2:11" ht="4.5" customHeight="1" x14ac:dyDescent="0.25">
      <c r="B125" s="1"/>
      <c r="C125" s="1"/>
      <c r="D125" s="1"/>
      <c r="E125" s="1"/>
      <c r="F125" s="1"/>
      <c r="G125" s="1"/>
      <c r="H125" s="86"/>
      <c r="I125" s="71"/>
      <c r="J125" s="71"/>
      <c r="K125" s="71"/>
    </row>
    <row r="126" spans="2:11" x14ac:dyDescent="0.25">
      <c r="B126" s="72" t="s">
        <v>65</v>
      </c>
      <c r="C126" s="72"/>
      <c r="D126" s="72"/>
      <c r="E126" s="72"/>
      <c r="F126" s="82">
        <f>$G$124*$K$77</f>
        <v>5923.3120127999982</v>
      </c>
      <c r="G126" s="82"/>
      <c r="H126" s="86"/>
      <c r="I126" s="71"/>
      <c r="J126" s="71"/>
      <c r="K126" s="71"/>
    </row>
    <row r="127" spans="2:11" ht="4.5" customHeight="1" x14ac:dyDescent="0.25">
      <c r="B127" s="1"/>
      <c r="C127" s="1"/>
      <c r="D127" s="1"/>
      <c r="E127" s="1"/>
      <c r="F127" s="1"/>
      <c r="G127" s="1"/>
      <c r="H127" s="5"/>
      <c r="I127" s="5"/>
      <c r="J127" s="5"/>
      <c r="K127" s="5"/>
    </row>
    <row r="128" spans="2:11" s="23" customFormat="1" x14ac:dyDescent="0.2">
      <c r="B128" s="72" t="s">
        <v>66</v>
      </c>
      <c r="C128" s="72"/>
      <c r="D128" s="72"/>
      <c r="E128" s="72"/>
      <c r="F128" s="78">
        <f>Dados!$P$40</f>
        <v>243161.85679972894</v>
      </c>
      <c r="G128" s="74"/>
      <c r="H128" s="5"/>
      <c r="I128" s="71" t="str">
        <f>"o equivalente a plantar "&amp;Dados!$B$41&amp;" árvores ao longo dos 25 anos"</f>
        <v>o equivalente a plantar 947,835 árvores ao longo dos 25 anos</v>
      </c>
      <c r="J128" s="71"/>
      <c r="K128" s="71"/>
    </row>
    <row r="129" spans="2:11" ht="4.5" customHeight="1" x14ac:dyDescent="0.25">
      <c r="B129" s="1"/>
      <c r="C129" s="1"/>
      <c r="D129" s="1"/>
      <c r="E129" s="1"/>
      <c r="F129" s="1"/>
      <c r="G129" s="1"/>
      <c r="H129" s="5"/>
      <c r="I129" s="71"/>
      <c r="J129" s="71"/>
      <c r="K129" s="71"/>
    </row>
    <row r="130" spans="2:11" s="23" customFormat="1" x14ac:dyDescent="0.2">
      <c r="B130" s="79" t="s">
        <v>67</v>
      </c>
      <c r="C130" s="79"/>
      <c r="D130" s="38">
        <f>IRR(Dados!N15:O40)</f>
        <v>0.25669250757656847</v>
      </c>
      <c r="E130" s="79" t="s">
        <v>68</v>
      </c>
      <c r="F130" s="79"/>
      <c r="G130" s="39">
        <v>0.2</v>
      </c>
      <c r="H130" s="5"/>
      <c r="I130" s="71"/>
      <c r="J130" s="71"/>
      <c r="K130" s="71"/>
    </row>
    <row r="131" spans="2:11" ht="4.5" customHeight="1" x14ac:dyDescent="0.25">
      <c r="B131" s="1"/>
      <c r="C131" s="1"/>
      <c r="D131" s="1"/>
      <c r="E131" s="1"/>
      <c r="F131" s="1"/>
      <c r="G131" s="1"/>
      <c r="H131" s="5"/>
      <c r="I131" s="71"/>
      <c r="J131" s="71"/>
      <c r="K131" s="71"/>
    </row>
    <row r="132" spans="2:11" s="23" customFormat="1" x14ac:dyDescent="0.2">
      <c r="B132" s="72" t="s">
        <v>99</v>
      </c>
      <c r="C132" s="72"/>
      <c r="D132" s="72"/>
      <c r="E132" s="72"/>
      <c r="F132" s="73">
        <f>Dados!S19</f>
        <v>4.3203908353154263</v>
      </c>
      <c r="G132" s="74"/>
      <c r="H132" s="5"/>
      <c r="I132" s="71"/>
      <c r="J132" s="71"/>
      <c r="K132" s="71"/>
    </row>
    <row r="133" spans="2:11" ht="4.5" customHeight="1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2:11" s="23" customFormat="1" x14ac:dyDescent="0.2"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2:11" ht="16.5" x14ac:dyDescent="0.25">
      <c r="B135" s="97" t="s">
        <v>0</v>
      </c>
      <c r="C135" s="97"/>
      <c r="D135" s="97"/>
      <c r="E135" s="97"/>
      <c r="F135" s="97"/>
      <c r="G135" s="97" t="s">
        <v>0</v>
      </c>
      <c r="H135" s="97"/>
      <c r="I135" s="97"/>
      <c r="J135" s="97"/>
      <c r="K135" s="97"/>
    </row>
    <row r="136" spans="2:11" x14ac:dyDescent="0.25">
      <c r="B136" s="86" t="str">
        <f>$D$64</f>
        <v>PORTA DO MAR E HZALHO</v>
      </c>
      <c r="C136" s="86"/>
      <c r="D136" s="86"/>
      <c r="E136" s="86"/>
      <c r="F136" s="86"/>
      <c r="G136" s="86" t="s">
        <v>24</v>
      </c>
      <c r="H136" s="86"/>
      <c r="I136" s="86"/>
      <c r="J136" s="86"/>
      <c r="K136" s="86"/>
    </row>
    <row r="137" spans="2:11" x14ac:dyDescent="0.25">
      <c r="B137" s="86" t="str">
        <f xml:space="preserve"> "CPF/CNPJ: "&amp;$J$64&amp;""</f>
        <v>CPF/CNPJ: 12.940.821/0001-97</v>
      </c>
      <c r="C137" s="86"/>
      <c r="D137" s="86"/>
      <c r="E137" s="86"/>
      <c r="F137" s="86"/>
      <c r="G137" s="86" t="s">
        <v>25</v>
      </c>
      <c r="H137" s="86"/>
      <c r="I137" s="86"/>
      <c r="J137" s="86"/>
      <c r="K137" s="86"/>
    </row>
  </sheetData>
  <mergeCells count="85">
    <mergeCell ref="B135:F135"/>
    <mergeCell ref="G135:K135"/>
    <mergeCell ref="B136:F136"/>
    <mergeCell ref="B137:F137"/>
    <mergeCell ref="G136:K136"/>
    <mergeCell ref="G137:K137"/>
    <mergeCell ref="D64:G64"/>
    <mergeCell ref="J64:K64"/>
    <mergeCell ref="B64:C64"/>
    <mergeCell ref="H64:I64"/>
    <mergeCell ref="B66:C66"/>
    <mergeCell ref="D66:G66"/>
    <mergeCell ref="H66:I66"/>
    <mergeCell ref="J66:K66"/>
    <mergeCell ref="J68:K68"/>
    <mergeCell ref="C68:F68"/>
    <mergeCell ref="F70:H70"/>
    <mergeCell ref="C70:D70"/>
    <mergeCell ref="B75:C75"/>
    <mergeCell ref="D75:F75"/>
    <mergeCell ref="G75:H75"/>
    <mergeCell ref="I75:K75"/>
    <mergeCell ref="B77:C77"/>
    <mergeCell ref="F77:H77"/>
    <mergeCell ref="D77:E77"/>
    <mergeCell ref="B79:D79"/>
    <mergeCell ref="F79:H79"/>
    <mergeCell ref="I79:K79"/>
    <mergeCell ref="H83:J83"/>
    <mergeCell ref="B85:D85"/>
    <mergeCell ref="E85:H85"/>
    <mergeCell ref="I85:K85"/>
    <mergeCell ref="B83:G83"/>
    <mergeCell ref="G95:H95"/>
    <mergeCell ref="B91:C91"/>
    <mergeCell ref="B95:C95"/>
    <mergeCell ref="B93:C93"/>
    <mergeCell ref="E91:F91"/>
    <mergeCell ref="G91:H91"/>
    <mergeCell ref="B105:K105"/>
    <mergeCell ref="C87:D87"/>
    <mergeCell ref="C89:D89"/>
    <mergeCell ref="B96:C96"/>
    <mergeCell ref="I95:J95"/>
    <mergeCell ref="J87:K87"/>
    <mergeCell ref="J89:K89"/>
    <mergeCell ref="F87:H87"/>
    <mergeCell ref="I91:J91"/>
    <mergeCell ref="I93:J93"/>
    <mergeCell ref="C97:K97"/>
    <mergeCell ref="F89:H89"/>
    <mergeCell ref="E93:F93"/>
    <mergeCell ref="G93:H93"/>
    <mergeCell ref="C98:K98"/>
    <mergeCell ref="E95:F95"/>
    <mergeCell ref="I113:K113"/>
    <mergeCell ref="B108:G108"/>
    <mergeCell ref="H108:I108"/>
    <mergeCell ref="J108:K108"/>
    <mergeCell ref="B111:C111"/>
    <mergeCell ref="D111:F111"/>
    <mergeCell ref="G111:H111"/>
    <mergeCell ref="I111:K111"/>
    <mergeCell ref="B117:K118"/>
    <mergeCell ref="B122:F122"/>
    <mergeCell ref="B120:G120"/>
    <mergeCell ref="H120:K120"/>
    <mergeCell ref="H122:H126"/>
    <mergeCell ref="I122:K126"/>
    <mergeCell ref="I128:K132"/>
    <mergeCell ref="B132:E132"/>
    <mergeCell ref="F132:G132"/>
    <mergeCell ref="I5:K5"/>
    <mergeCell ref="B18:K22"/>
    <mergeCell ref="F128:G128"/>
    <mergeCell ref="B130:C130"/>
    <mergeCell ref="B113:C113"/>
    <mergeCell ref="D113:F113"/>
    <mergeCell ref="G113:H113"/>
    <mergeCell ref="E130:F130"/>
    <mergeCell ref="B124:F124"/>
    <mergeCell ref="B126:E126"/>
    <mergeCell ref="F126:G126"/>
    <mergeCell ref="B128:E128"/>
    <mergeCell ref="B115:K115"/>
  </mergeCells>
  <conditionalFormatting sqref="D130">
    <cfRule type="cellIs" dxfId="1" priority="1" operator="lessThan">
      <formula>$G$130</formula>
    </cfRule>
  </conditionalFormatting>
  <hyperlinks>
    <hyperlink ref="F70" r:id="rId1" xr:uid="{00000000-0004-0000-0000-000000000000}"/>
  </hyperlinks>
  <printOptions horizontalCentered="1" verticalCentered="1"/>
  <pageMargins left="0" right="0" top="0.19685039370078741" bottom="0.19685039370078741" header="0.11811023622047245" footer="0.11811023622047245"/>
  <pageSetup paperSize="9" orientation="portrait" r:id="rId2"/>
  <headerFooter>
    <oddHeader>&amp;L&amp;G</oddHeader>
  </headerFooter>
  <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000-000000000000}">
          <x14:formula1>
            <xm:f>Dados!$A$5:$A$14</xm:f>
          </x14:formula1>
          <xm:sqref>H68</xm:sqref>
        </x14:dataValidation>
        <x14:dataValidation type="list" allowBlank="1" showInputMessage="1" showErrorMessage="1" xr:uid="{00000000-0002-0000-0000-000001000000}">
          <x14:formula1>
            <xm:f>Dados!$A$17:$A$19</xm:f>
          </x14:formula1>
          <xm:sqref>D77:E77</xm:sqref>
        </x14:dataValidation>
        <x14:dataValidation type="list" allowBlank="1" showInputMessage="1" showErrorMessage="1" xr:uid="{00000000-0002-0000-0000-000002000000}">
          <x14:formula1>
            <xm:f>Dados!$B$5:$B$10</xm:f>
          </x14:formula1>
          <xm:sqref>I79:K80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84"/>
  <sheetViews>
    <sheetView tabSelected="1" workbookViewId="0">
      <selection activeCell="D10" sqref="D10:P10"/>
    </sheetView>
  </sheetViews>
  <sheetFormatPr defaultRowHeight="15" x14ac:dyDescent="0.25"/>
  <cols>
    <col min="1" max="1" width="17.140625" customWidth="1"/>
    <col min="2" max="2" width="14.28515625" bestFit="1" customWidth="1"/>
    <col min="3" max="27" width="9.140625" customWidth="1"/>
  </cols>
  <sheetData>
    <row r="1" spans="1:27" x14ac:dyDescent="0.25">
      <c r="A1" s="13" t="s">
        <v>131</v>
      </c>
      <c r="B1" s="27">
        <v>5</v>
      </c>
      <c r="C1" s="13" t="s">
        <v>130</v>
      </c>
      <c r="D1" s="99" t="s">
        <v>85</v>
      </c>
      <c r="E1" s="99"/>
      <c r="F1" s="99"/>
      <c r="G1" s="28">
        <v>450</v>
      </c>
      <c r="H1" s="99" t="s">
        <v>86</v>
      </c>
      <c r="I1" s="99"/>
      <c r="J1" s="28">
        <v>13</v>
      </c>
      <c r="K1" s="100" t="s">
        <v>128</v>
      </c>
      <c r="L1" s="100"/>
      <c r="M1" s="100"/>
      <c r="N1" s="49">
        <f>(G1*J1)/1000</f>
        <v>5.85</v>
      </c>
      <c r="O1" s="13" t="s">
        <v>129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13" t="s">
        <v>139</v>
      </c>
      <c r="B2" s="48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65"/>
      <c r="T2" s="3"/>
      <c r="U2" s="3"/>
      <c r="V2" s="3"/>
      <c r="W2" s="3"/>
      <c r="X2" s="3"/>
      <c r="Y2" s="3"/>
      <c r="Z2" s="3"/>
      <c r="AA2" s="3"/>
    </row>
    <row r="3" spans="1:27" x14ac:dyDescent="0.25">
      <c r="A3" s="3"/>
      <c r="B3" s="3"/>
      <c r="C3" s="3"/>
      <c r="D3" s="98" t="s">
        <v>82</v>
      </c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11</v>
      </c>
      <c r="B4" s="13" t="s">
        <v>35</v>
      </c>
      <c r="C4" s="3"/>
      <c r="D4" s="25" t="s">
        <v>69</v>
      </c>
      <c r="E4" s="25" t="s">
        <v>70</v>
      </c>
      <c r="F4" s="25" t="s">
        <v>71</v>
      </c>
      <c r="G4" s="25" t="s">
        <v>72</v>
      </c>
      <c r="H4" s="25" t="s">
        <v>73</v>
      </c>
      <c r="I4" s="25" t="s">
        <v>74</v>
      </c>
      <c r="J4" s="25" t="s">
        <v>75</v>
      </c>
      <c r="K4" s="25" t="s">
        <v>76</v>
      </c>
      <c r="L4" s="25" t="s">
        <v>77</v>
      </c>
      <c r="M4" s="25" t="s">
        <v>78</v>
      </c>
      <c r="N4" s="25" t="s">
        <v>79</v>
      </c>
      <c r="O4" s="25" t="s">
        <v>80</v>
      </c>
      <c r="P4" s="25" t="s">
        <v>81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2" t="s">
        <v>1</v>
      </c>
      <c r="B5" s="15" t="s">
        <v>36</v>
      </c>
      <c r="C5" s="3"/>
      <c r="D5" s="27">
        <v>700</v>
      </c>
      <c r="E5" s="27">
        <v>700</v>
      </c>
      <c r="F5" s="27">
        <v>700</v>
      </c>
      <c r="G5" s="27">
        <v>700</v>
      </c>
      <c r="H5" s="27">
        <v>700</v>
      </c>
      <c r="I5" s="27">
        <v>700</v>
      </c>
      <c r="J5" s="27">
        <v>700</v>
      </c>
      <c r="K5" s="27">
        <v>700</v>
      </c>
      <c r="L5" s="27">
        <v>700</v>
      </c>
      <c r="M5" s="27">
        <v>700</v>
      </c>
      <c r="N5" s="27">
        <v>700</v>
      </c>
      <c r="O5" s="27">
        <v>700</v>
      </c>
      <c r="P5" s="28">
        <f>(SUM(D4:O5)/12)</f>
        <v>700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2" t="s">
        <v>2</v>
      </c>
      <c r="B6" s="3" t="s">
        <v>37</v>
      </c>
      <c r="C6" s="3"/>
      <c r="D6" s="98" t="s">
        <v>83</v>
      </c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2" t="s">
        <v>87</v>
      </c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2" t="s">
        <v>3</v>
      </c>
      <c r="B7" s="3" t="s">
        <v>38</v>
      </c>
      <c r="C7" s="3"/>
      <c r="D7" s="25" t="s">
        <v>69</v>
      </c>
      <c r="E7" s="25" t="s">
        <v>70</v>
      </c>
      <c r="F7" s="25" t="s">
        <v>71</v>
      </c>
      <c r="G7" s="25" t="s">
        <v>72</v>
      </c>
      <c r="H7" s="25" t="s">
        <v>73</v>
      </c>
      <c r="I7" s="25" t="s">
        <v>74</v>
      </c>
      <c r="J7" s="25" t="s">
        <v>75</v>
      </c>
      <c r="K7" s="25" t="s">
        <v>76</v>
      </c>
      <c r="L7" s="25" t="s">
        <v>77</v>
      </c>
      <c r="M7" s="25" t="s">
        <v>78</v>
      </c>
      <c r="N7" s="25" t="s">
        <v>79</v>
      </c>
      <c r="O7" s="25" t="s">
        <v>80</v>
      </c>
      <c r="P7" s="25" t="s">
        <v>81</v>
      </c>
      <c r="Q7" s="37">
        <v>0.2</v>
      </c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2" t="s">
        <v>4</v>
      </c>
      <c r="B8" s="3" t="s">
        <v>39</v>
      </c>
      <c r="C8" s="3"/>
      <c r="D8" s="2">
        <v>4.59</v>
      </c>
      <c r="E8" s="2">
        <v>4.71</v>
      </c>
      <c r="F8" s="31">
        <v>4.9455999999999998</v>
      </c>
      <c r="G8" s="2">
        <v>4.79</v>
      </c>
      <c r="H8" s="2">
        <v>4.42</v>
      </c>
      <c r="I8" s="2">
        <v>4.59</v>
      </c>
      <c r="J8" s="2">
        <v>4.6900000000000004</v>
      </c>
      <c r="K8" s="2">
        <v>5.14</v>
      </c>
      <c r="L8" s="2">
        <v>5.52</v>
      </c>
      <c r="M8" s="2">
        <v>5.43</v>
      </c>
      <c r="N8" s="2">
        <v>5.1100000000000003</v>
      </c>
      <c r="O8" s="2">
        <v>4.66</v>
      </c>
      <c r="P8" s="29">
        <f>MEDIAN(D8:O8)</f>
        <v>4.75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2" t="s">
        <v>5</v>
      </c>
      <c r="B9" s="3" t="s">
        <v>41</v>
      </c>
      <c r="C9" s="3"/>
      <c r="D9" s="30">
        <f>D8-(D8*$Q$7)</f>
        <v>3.6719999999999997</v>
      </c>
      <c r="E9" s="30">
        <f t="shared" ref="E9:O9" si="0">E8-(E8*$Q$7)</f>
        <v>3.7679999999999998</v>
      </c>
      <c r="F9" s="30">
        <f t="shared" si="0"/>
        <v>3.95648</v>
      </c>
      <c r="G9" s="30">
        <f t="shared" si="0"/>
        <v>3.8319999999999999</v>
      </c>
      <c r="H9" s="30">
        <f t="shared" si="0"/>
        <v>3.536</v>
      </c>
      <c r="I9" s="30">
        <f t="shared" si="0"/>
        <v>3.6719999999999997</v>
      </c>
      <c r="J9" s="30">
        <f t="shared" si="0"/>
        <v>3.7520000000000002</v>
      </c>
      <c r="K9" s="30">
        <f t="shared" si="0"/>
        <v>4.1120000000000001</v>
      </c>
      <c r="L9" s="30">
        <f t="shared" si="0"/>
        <v>4.4159999999999995</v>
      </c>
      <c r="M9" s="30">
        <f t="shared" si="0"/>
        <v>4.3439999999999994</v>
      </c>
      <c r="N9" s="30">
        <f t="shared" si="0"/>
        <v>4.0880000000000001</v>
      </c>
      <c r="O9" s="30">
        <f t="shared" si="0"/>
        <v>3.7280000000000002</v>
      </c>
      <c r="P9" s="29">
        <f>MEDIAN(D9:O9)</f>
        <v>3.8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2" t="s">
        <v>6</v>
      </c>
      <c r="B10" s="3" t="s">
        <v>40</v>
      </c>
      <c r="C10" s="3"/>
      <c r="D10" s="98" t="s">
        <v>84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2" t="s">
        <v>7</v>
      </c>
      <c r="B11" s="3"/>
      <c r="C11" s="3"/>
      <c r="D11" s="25" t="s">
        <v>69</v>
      </c>
      <c r="E11" s="25" t="s">
        <v>70</v>
      </c>
      <c r="F11" s="25" t="s">
        <v>71</v>
      </c>
      <c r="G11" s="25" t="s">
        <v>72</v>
      </c>
      <c r="H11" s="25" t="s">
        <v>73</v>
      </c>
      <c r="I11" s="25" t="s">
        <v>74</v>
      </c>
      <c r="J11" s="25" t="s">
        <v>75</v>
      </c>
      <c r="K11" s="25" t="s">
        <v>76</v>
      </c>
      <c r="L11" s="25" t="s">
        <v>77</v>
      </c>
      <c r="M11" s="25" t="s">
        <v>78</v>
      </c>
      <c r="N11" s="25" t="s">
        <v>79</v>
      </c>
      <c r="O11" s="25" t="s">
        <v>80</v>
      </c>
      <c r="P11" s="25" t="s">
        <v>98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2" t="s">
        <v>8</v>
      </c>
      <c r="B12" s="3"/>
      <c r="C12" s="3"/>
      <c r="D12" s="27">
        <f>((($G$1*$J$1)*D9)*30)/1000</f>
        <v>644.43599999999992</v>
      </c>
      <c r="E12" s="27">
        <f t="shared" ref="E12:O12" si="1">((($G$1*$J$1)*E9)*30)/1000</f>
        <v>661.28399999999999</v>
      </c>
      <c r="F12" s="27">
        <f t="shared" si="1"/>
        <v>694.36224000000004</v>
      </c>
      <c r="G12" s="27">
        <f t="shared" si="1"/>
        <v>672.51599999999996</v>
      </c>
      <c r="H12" s="27">
        <f t="shared" si="1"/>
        <v>620.56799999999998</v>
      </c>
      <c r="I12" s="27">
        <f t="shared" si="1"/>
        <v>644.43599999999992</v>
      </c>
      <c r="J12" s="27">
        <f t="shared" si="1"/>
        <v>658.476</v>
      </c>
      <c r="K12" s="27">
        <f t="shared" si="1"/>
        <v>721.65599999999995</v>
      </c>
      <c r="L12" s="27">
        <f t="shared" si="1"/>
        <v>775.00800000000004</v>
      </c>
      <c r="M12" s="27">
        <f t="shared" si="1"/>
        <v>762.37199999999984</v>
      </c>
      <c r="N12" s="27">
        <f t="shared" si="1"/>
        <v>717.44399999999996</v>
      </c>
      <c r="O12" s="27">
        <f t="shared" si="1"/>
        <v>654.26400000000012</v>
      </c>
      <c r="P12" s="28">
        <f>SUM(D12:O12)</f>
        <v>8226.8222399999977</v>
      </c>
      <c r="Q12" s="42">
        <f>(SUM(D12:O12)/12)</f>
        <v>685.56851999999981</v>
      </c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2" t="s">
        <v>9</v>
      </c>
      <c r="B13" s="3"/>
      <c r="C13" s="3"/>
      <c r="D13" s="98" t="s">
        <v>97</v>
      </c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35">
        <v>0.05</v>
      </c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2" t="s">
        <v>10</v>
      </c>
      <c r="B14" s="13" t="s">
        <v>140</v>
      </c>
      <c r="C14" s="3"/>
      <c r="D14" s="4" t="s">
        <v>88</v>
      </c>
      <c r="E14" s="4" t="s">
        <v>87</v>
      </c>
      <c r="F14" s="4" t="s">
        <v>89</v>
      </c>
      <c r="G14" s="4" t="s">
        <v>90</v>
      </c>
      <c r="H14" s="98" t="s">
        <v>91</v>
      </c>
      <c r="I14" s="98"/>
      <c r="J14" s="98" t="s">
        <v>92</v>
      </c>
      <c r="K14" s="98"/>
      <c r="L14" s="98" t="s">
        <v>93</v>
      </c>
      <c r="M14" s="98"/>
      <c r="N14" s="98" t="s">
        <v>94</v>
      </c>
      <c r="O14" s="98"/>
      <c r="P14" s="98" t="s">
        <v>95</v>
      </c>
      <c r="Q14" s="98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2"/>
      <c r="B15" s="52">
        <f>((B23*45%)+B23)</f>
        <v>29058.826499999999</v>
      </c>
      <c r="C15" s="42">
        <f>$Q$12</f>
        <v>685.56851999999981</v>
      </c>
      <c r="D15" s="27">
        <v>0</v>
      </c>
      <c r="E15" s="33" t="s">
        <v>96</v>
      </c>
      <c r="F15" s="2" t="s">
        <v>96</v>
      </c>
      <c r="G15" s="34">
        <v>0.76</v>
      </c>
      <c r="H15" s="101" t="s">
        <v>96</v>
      </c>
      <c r="I15" s="101"/>
      <c r="J15" s="101">
        <f>-($B$15)</f>
        <v>-29058.826499999999</v>
      </c>
      <c r="K15" s="101"/>
      <c r="L15" s="101" t="s">
        <v>96</v>
      </c>
      <c r="M15" s="101"/>
      <c r="N15" s="101">
        <f>J15</f>
        <v>-29058.826499999999</v>
      </c>
      <c r="O15" s="101"/>
      <c r="P15" s="101">
        <f>N15</f>
        <v>-29058.826499999999</v>
      </c>
      <c r="Q15" s="101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13" t="s">
        <v>30</v>
      </c>
      <c r="B16" s="3"/>
      <c r="C16" s="42">
        <f>$C$15*E16</f>
        <v>668.42930699999977</v>
      </c>
      <c r="D16" s="27">
        <v>1</v>
      </c>
      <c r="E16" s="32">
        <v>0.97499999999999998</v>
      </c>
      <c r="F16" s="27">
        <f>($P$12*E16)</f>
        <v>8021.1516839999977</v>
      </c>
      <c r="G16" s="36">
        <f>G15+(G15*$Q$13)</f>
        <v>0.79800000000000004</v>
      </c>
      <c r="H16" s="101">
        <f>F16*G16</f>
        <v>6400.8790438319984</v>
      </c>
      <c r="I16" s="101"/>
      <c r="J16" s="101">
        <v>0</v>
      </c>
      <c r="K16" s="101"/>
      <c r="L16" s="101">
        <f>-(12*$J$1)</f>
        <v>-156</v>
      </c>
      <c r="M16" s="101"/>
      <c r="N16" s="101">
        <f>SUM(H16:M16)</f>
        <v>6244.8790438319984</v>
      </c>
      <c r="O16" s="101"/>
      <c r="P16" s="101">
        <f>P15+N16</f>
        <v>-22813.947456168</v>
      </c>
      <c r="Q16" s="101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3" t="s">
        <v>31</v>
      </c>
      <c r="B17" s="3"/>
      <c r="C17" s="42">
        <f>$C$15*E17</f>
        <v>665.0014643999998</v>
      </c>
      <c r="D17" s="27">
        <v>2</v>
      </c>
      <c r="E17" s="32">
        <v>0.97</v>
      </c>
      <c r="F17" s="27">
        <f t="shared" ref="F17:F40" si="2">($P$12*E17)</f>
        <v>7980.0175727999977</v>
      </c>
      <c r="G17" s="36">
        <f>G16+(G16*$Q$13)</f>
        <v>0.83790000000000009</v>
      </c>
      <c r="H17" s="101">
        <f t="shared" ref="H17:H28" si="3">F17*G17</f>
        <v>6686.4567242491185</v>
      </c>
      <c r="I17" s="101"/>
      <c r="J17" s="101">
        <v>0</v>
      </c>
      <c r="K17" s="101"/>
      <c r="L17" s="101">
        <f>(L16*$Q$13)+L16</f>
        <v>-163.80000000000001</v>
      </c>
      <c r="M17" s="101"/>
      <c r="N17" s="101">
        <f t="shared" ref="N17:N30" si="4">SUM(H17:M17)</f>
        <v>6522.6567242491183</v>
      </c>
      <c r="O17" s="101"/>
      <c r="P17" s="101">
        <f t="shared" ref="P17:P26" si="5">P16+N17</f>
        <v>-16291.290731918882</v>
      </c>
      <c r="Q17" s="101"/>
      <c r="R17" s="3"/>
      <c r="S17" s="3"/>
      <c r="T17" s="3"/>
      <c r="U17" s="3"/>
      <c r="V17" s="26"/>
      <c r="W17" s="3"/>
      <c r="X17" s="3"/>
      <c r="Y17" s="3"/>
      <c r="Z17" s="3"/>
      <c r="AA17" s="3"/>
    </row>
    <row r="18" spans="1:27" x14ac:dyDescent="0.25">
      <c r="A18" s="3" t="s">
        <v>32</v>
      </c>
      <c r="C18" s="42">
        <f t="shared" ref="C18:C31" si="6">$C$15*E18</f>
        <v>660.88805327999978</v>
      </c>
      <c r="D18" s="27">
        <v>3</v>
      </c>
      <c r="E18" s="32">
        <v>0.96399999999999997</v>
      </c>
      <c r="F18" s="27">
        <f t="shared" si="2"/>
        <v>7930.6566393599978</v>
      </c>
      <c r="G18" s="36">
        <f t="shared" ref="G18:G29" si="7">G17+(G17*$Q$13)</f>
        <v>0.8797950000000001</v>
      </c>
      <c r="H18" s="101">
        <f t="shared" si="3"/>
        <v>6977.35205802573</v>
      </c>
      <c r="I18" s="101"/>
      <c r="J18" s="101">
        <v>0</v>
      </c>
      <c r="K18" s="101"/>
      <c r="L18" s="101">
        <f t="shared" ref="L18:L21" si="8">(L17*$Q$13)+L17</f>
        <v>-171.99</v>
      </c>
      <c r="M18" s="101"/>
      <c r="N18" s="101">
        <f t="shared" si="4"/>
        <v>6805.3620580257302</v>
      </c>
      <c r="O18" s="101"/>
      <c r="P18" s="101">
        <f t="shared" si="5"/>
        <v>-9485.9286738931514</v>
      </c>
      <c r="Q18" s="101"/>
      <c r="R18" s="3"/>
      <c r="S18" s="50" t="s">
        <v>132</v>
      </c>
      <c r="T18" s="26"/>
      <c r="U18" s="26"/>
      <c r="V18" s="26"/>
      <c r="W18" s="26"/>
      <c r="X18" s="26"/>
      <c r="Y18" s="26"/>
      <c r="Z18" s="26"/>
      <c r="AA18" s="26"/>
    </row>
    <row r="19" spans="1:27" x14ac:dyDescent="0.25">
      <c r="A19" s="3" t="s">
        <v>33</v>
      </c>
      <c r="B19" s="3"/>
      <c r="C19" s="42">
        <f t="shared" si="6"/>
        <v>657.46021067999982</v>
      </c>
      <c r="D19" s="27">
        <v>4</v>
      </c>
      <c r="E19" s="32">
        <v>0.95899999999999996</v>
      </c>
      <c r="F19" s="27">
        <f t="shared" si="2"/>
        <v>7889.5225281599978</v>
      </c>
      <c r="G19" s="36">
        <f t="shared" si="7"/>
        <v>0.92378475000000015</v>
      </c>
      <c r="H19" s="101">
        <f t="shared" si="3"/>
        <v>7288.2205962956532</v>
      </c>
      <c r="I19" s="101"/>
      <c r="J19" s="101">
        <v>0</v>
      </c>
      <c r="K19" s="101"/>
      <c r="L19" s="101">
        <f t="shared" si="8"/>
        <v>-180.58950000000002</v>
      </c>
      <c r="M19" s="101"/>
      <c r="N19" s="101">
        <f t="shared" si="4"/>
        <v>7107.6310962956532</v>
      </c>
      <c r="O19" s="101"/>
      <c r="P19" s="101">
        <f t="shared" si="5"/>
        <v>-2378.2975775974983</v>
      </c>
      <c r="Q19" s="101"/>
      <c r="R19" s="3"/>
      <c r="S19" s="26">
        <f>(P19*-1)/N20+D19</f>
        <v>4.3203908353154263</v>
      </c>
      <c r="T19" s="26"/>
      <c r="U19" s="26"/>
      <c r="V19" s="26"/>
      <c r="W19" s="26"/>
      <c r="X19" s="26"/>
      <c r="Y19" s="26"/>
      <c r="Z19" s="26"/>
      <c r="AA19" s="26"/>
    </row>
    <row r="20" spans="1:27" x14ac:dyDescent="0.25">
      <c r="A20" s="3"/>
      <c r="B20" s="3"/>
      <c r="C20" s="42">
        <f t="shared" si="6"/>
        <v>654.03236807999974</v>
      </c>
      <c r="D20" s="27">
        <v>5</v>
      </c>
      <c r="E20" s="32">
        <v>0.95399999999999996</v>
      </c>
      <c r="F20" s="27">
        <f t="shared" si="2"/>
        <v>7848.3884169599978</v>
      </c>
      <c r="G20" s="36">
        <f t="shared" si="7"/>
        <v>0.96997398750000019</v>
      </c>
      <c r="H20" s="101">
        <f t="shared" si="3"/>
        <v>7612.7326082475029</v>
      </c>
      <c r="I20" s="101"/>
      <c r="J20" s="101">
        <v>0</v>
      </c>
      <c r="K20" s="101"/>
      <c r="L20" s="101">
        <f t="shared" si="8"/>
        <v>-189.61897500000001</v>
      </c>
      <c r="M20" s="101"/>
      <c r="N20" s="101">
        <f t="shared" si="4"/>
        <v>7423.1136332475025</v>
      </c>
      <c r="O20" s="101"/>
      <c r="P20" s="101">
        <f t="shared" si="5"/>
        <v>5044.8160556500043</v>
      </c>
      <c r="Q20" s="101"/>
      <c r="R20" s="3"/>
      <c r="S20" s="26"/>
      <c r="T20" s="26"/>
      <c r="U20" s="26"/>
      <c r="V20" s="26"/>
      <c r="W20" s="26"/>
      <c r="X20" s="26"/>
      <c r="Y20" s="26"/>
      <c r="Z20" s="26"/>
      <c r="AA20" s="26"/>
    </row>
    <row r="21" spans="1:27" x14ac:dyDescent="0.25">
      <c r="A21" s="3"/>
      <c r="B21" s="3"/>
      <c r="C21" s="42">
        <f t="shared" si="6"/>
        <v>649.91895695999983</v>
      </c>
      <c r="D21" s="27">
        <v>6</v>
      </c>
      <c r="E21" s="32">
        <v>0.94799999999999995</v>
      </c>
      <c r="F21" s="27">
        <f t="shared" si="2"/>
        <v>7799.0274835199971</v>
      </c>
      <c r="G21" s="36">
        <f t="shared" si="7"/>
        <v>1.0184726868750003</v>
      </c>
      <c r="H21" s="101">
        <f t="shared" si="3"/>
        <v>7943.0964761525829</v>
      </c>
      <c r="I21" s="101"/>
      <c r="J21" s="101">
        <v>0</v>
      </c>
      <c r="K21" s="101"/>
      <c r="L21" s="101">
        <f t="shared" si="8"/>
        <v>-199.09992375000002</v>
      </c>
      <c r="M21" s="101"/>
      <c r="N21" s="101">
        <f t="shared" si="4"/>
        <v>7743.9965524025829</v>
      </c>
      <c r="O21" s="101"/>
      <c r="P21" s="101">
        <f t="shared" si="5"/>
        <v>12788.812608052587</v>
      </c>
      <c r="Q21" s="101"/>
      <c r="R21" s="3"/>
      <c r="S21" s="26"/>
      <c r="T21" s="26"/>
      <c r="U21" s="26"/>
      <c r="V21" s="26"/>
      <c r="W21" s="26"/>
      <c r="X21" s="26"/>
      <c r="Y21" s="26"/>
      <c r="Z21" s="26"/>
      <c r="AA21" s="26"/>
    </row>
    <row r="22" spans="1:27" x14ac:dyDescent="0.25">
      <c r="A22" s="3"/>
      <c r="B22" s="3"/>
      <c r="C22" s="42">
        <f t="shared" si="6"/>
        <v>646.49111435999976</v>
      </c>
      <c r="D22" s="27">
        <v>7</v>
      </c>
      <c r="E22" s="32">
        <v>0.94299999999999995</v>
      </c>
      <c r="F22" s="27">
        <f t="shared" si="2"/>
        <v>7757.8933723199971</v>
      </c>
      <c r="G22" s="36">
        <f t="shared" si="7"/>
        <v>1.0693963212187503</v>
      </c>
      <c r="H22" s="101">
        <f t="shared" si="3"/>
        <v>8296.2626327663293</v>
      </c>
      <c r="I22" s="101"/>
      <c r="J22" s="101">
        <v>0</v>
      </c>
      <c r="K22" s="101"/>
      <c r="L22" s="101">
        <f t="shared" ref="L22:L32" si="9">(L21*$Q$13)+L21</f>
        <v>-209.05491993750002</v>
      </c>
      <c r="M22" s="101"/>
      <c r="N22" s="101">
        <f t="shared" si="4"/>
        <v>8087.2077128288292</v>
      </c>
      <c r="O22" s="101"/>
      <c r="P22" s="101">
        <f t="shared" si="5"/>
        <v>20876.020320881416</v>
      </c>
      <c r="Q22" s="101"/>
      <c r="R22" s="3"/>
      <c r="S22" s="26"/>
      <c r="T22" s="26"/>
      <c r="U22" s="26"/>
      <c r="V22" s="26"/>
      <c r="W22" s="26"/>
      <c r="X22" s="26"/>
      <c r="Y22" s="26"/>
      <c r="Z22" s="26"/>
      <c r="AA22" s="26"/>
    </row>
    <row r="23" spans="1:27" x14ac:dyDescent="0.25">
      <c r="A23" s="3" t="s">
        <v>374</v>
      </c>
      <c r="B23" s="66">
        <v>20040.57</v>
      </c>
      <c r="C23" s="42">
        <f t="shared" si="6"/>
        <v>643.06327175999979</v>
      </c>
      <c r="D23" s="27">
        <v>8</v>
      </c>
      <c r="E23" s="32">
        <v>0.93799999999999994</v>
      </c>
      <c r="F23" s="27">
        <f t="shared" si="2"/>
        <v>7716.7592611199971</v>
      </c>
      <c r="G23" s="36">
        <f t="shared" si="7"/>
        <v>1.1228661372796878</v>
      </c>
      <c r="H23" s="101">
        <f t="shared" si="3"/>
        <v>8664.8876638510683</v>
      </c>
      <c r="I23" s="101"/>
      <c r="J23" s="101">
        <v>0</v>
      </c>
      <c r="K23" s="101"/>
      <c r="L23" s="101">
        <f t="shared" si="9"/>
        <v>-219.50766593437501</v>
      </c>
      <c r="M23" s="101"/>
      <c r="N23" s="101">
        <f t="shared" si="4"/>
        <v>8445.3799979166924</v>
      </c>
      <c r="O23" s="101"/>
      <c r="P23" s="101">
        <f t="shared" si="5"/>
        <v>29321.400318798107</v>
      </c>
      <c r="Q23" s="101"/>
      <c r="R23" s="3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15" t="s">
        <v>375</v>
      </c>
      <c r="B24" s="68">
        <f>B15*2%</f>
        <v>581.17652999999996</v>
      </c>
      <c r="C24" s="42">
        <f t="shared" si="6"/>
        <v>638.94986063999988</v>
      </c>
      <c r="D24" s="27">
        <v>9</v>
      </c>
      <c r="E24" s="32">
        <v>0.93200000000000005</v>
      </c>
      <c r="F24" s="27">
        <f t="shared" si="2"/>
        <v>7667.3983276799981</v>
      </c>
      <c r="G24" s="36">
        <f t="shared" si="7"/>
        <v>1.1790094441436723</v>
      </c>
      <c r="H24" s="101">
        <f t="shared" si="3"/>
        <v>9039.9350403461176</v>
      </c>
      <c r="I24" s="101"/>
      <c r="J24" s="101">
        <v>0</v>
      </c>
      <c r="K24" s="101"/>
      <c r="L24" s="101">
        <f t="shared" si="9"/>
        <v>-230.48304923109376</v>
      </c>
      <c r="M24" s="101"/>
      <c r="N24" s="101">
        <f t="shared" si="4"/>
        <v>8809.4519911150237</v>
      </c>
      <c r="O24" s="101"/>
      <c r="P24" s="101">
        <f t="shared" si="5"/>
        <v>38130.852309913127</v>
      </c>
      <c r="Q24" s="101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15" t="s">
        <v>376</v>
      </c>
      <c r="B25" s="68">
        <f>B15*5%</f>
        <v>1452.941325</v>
      </c>
      <c r="C25" s="42">
        <f t="shared" si="6"/>
        <v>635.52201803999981</v>
      </c>
      <c r="D25" s="27">
        <v>10</v>
      </c>
      <c r="E25" s="32">
        <v>0.92700000000000005</v>
      </c>
      <c r="F25" s="27">
        <f t="shared" si="2"/>
        <v>7626.2642164799981</v>
      </c>
      <c r="G25" s="36">
        <f t="shared" si="7"/>
        <v>1.2379599163508559</v>
      </c>
      <c r="H25" s="101">
        <f t="shared" si="3"/>
        <v>9441.0094115031043</v>
      </c>
      <c r="I25" s="101"/>
      <c r="J25" s="101">
        <v>0</v>
      </c>
      <c r="K25" s="101"/>
      <c r="L25" s="101">
        <f t="shared" si="9"/>
        <v>-242.00720169264844</v>
      </c>
      <c r="M25" s="101"/>
      <c r="N25" s="101">
        <f t="shared" si="4"/>
        <v>9199.0022098104564</v>
      </c>
      <c r="O25" s="101"/>
      <c r="P25" s="101">
        <f t="shared" si="5"/>
        <v>47329.85451972358</v>
      </c>
      <c r="Q25" s="101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15" t="s">
        <v>377</v>
      </c>
      <c r="B26" s="68">
        <f>J1*60</f>
        <v>780</v>
      </c>
      <c r="C26" s="42">
        <f t="shared" si="6"/>
        <v>631.4086069199999</v>
      </c>
      <c r="D26" s="27">
        <v>11</v>
      </c>
      <c r="E26" s="32">
        <v>0.92100000000000004</v>
      </c>
      <c r="F26" s="27">
        <f t="shared" si="2"/>
        <v>7576.9032830399983</v>
      </c>
      <c r="G26" s="36">
        <f t="shared" si="7"/>
        <v>1.2998579121683986</v>
      </c>
      <c r="H26" s="101">
        <f t="shared" si="3"/>
        <v>9848.8976821942579</v>
      </c>
      <c r="I26" s="101"/>
      <c r="J26" s="101">
        <v>0</v>
      </c>
      <c r="K26" s="101"/>
      <c r="L26" s="101">
        <f t="shared" si="9"/>
        <v>-254.10756177728086</v>
      </c>
      <c r="M26" s="101"/>
      <c r="N26" s="101">
        <f t="shared" si="4"/>
        <v>9594.7901204169775</v>
      </c>
      <c r="O26" s="101"/>
      <c r="P26" s="101">
        <f t="shared" si="5"/>
        <v>56924.644640140556</v>
      </c>
      <c r="Q26" s="101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15" t="s">
        <v>378</v>
      </c>
      <c r="B27" s="68">
        <f>B15*3%</f>
        <v>871.76479499999994</v>
      </c>
      <c r="C27" s="42">
        <f t="shared" si="6"/>
        <v>627.98076431999982</v>
      </c>
      <c r="D27" s="27">
        <v>12</v>
      </c>
      <c r="E27" s="32">
        <v>0.91600000000000004</v>
      </c>
      <c r="F27" s="27">
        <f t="shared" si="2"/>
        <v>7535.7691718399983</v>
      </c>
      <c r="G27" s="36">
        <f t="shared" si="7"/>
        <v>1.3648508077768187</v>
      </c>
      <c r="H27" s="101">
        <f t="shared" si="3"/>
        <v>10285.20064140547</v>
      </c>
      <c r="I27" s="101"/>
      <c r="J27" s="101">
        <v>0</v>
      </c>
      <c r="K27" s="101"/>
      <c r="L27" s="101">
        <f t="shared" si="9"/>
        <v>-266.81293986614492</v>
      </c>
      <c r="M27" s="101"/>
      <c r="N27" s="101">
        <f t="shared" si="4"/>
        <v>10018.387701539326</v>
      </c>
      <c r="O27" s="101"/>
      <c r="P27" s="101">
        <f t="shared" ref="P27:P40" si="10">P26+N27</f>
        <v>66943.032341679878</v>
      </c>
      <c r="Q27" s="101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15" t="s">
        <v>379</v>
      </c>
      <c r="B28" s="68">
        <f>(B15-B23)*6%</f>
        <v>541.09538999999995</v>
      </c>
      <c r="C28" s="42">
        <f t="shared" si="6"/>
        <v>624.55292171999986</v>
      </c>
      <c r="D28" s="27">
        <v>13</v>
      </c>
      <c r="E28" s="32">
        <v>0.91100000000000003</v>
      </c>
      <c r="F28" s="27">
        <f t="shared" si="2"/>
        <v>7494.6350606399983</v>
      </c>
      <c r="G28" s="36">
        <f t="shared" si="7"/>
        <v>1.4330933481656596</v>
      </c>
      <c r="H28" s="101">
        <f t="shared" si="3"/>
        <v>10740.511652332316</v>
      </c>
      <c r="I28" s="101"/>
      <c r="J28" s="101">
        <v>0</v>
      </c>
      <c r="K28" s="101"/>
      <c r="L28" s="101">
        <f t="shared" si="9"/>
        <v>-280.15358685945216</v>
      </c>
      <c r="M28" s="101"/>
      <c r="N28" s="101">
        <f t="shared" si="4"/>
        <v>10460.358065472863</v>
      </c>
      <c r="O28" s="101"/>
      <c r="P28" s="101">
        <f t="shared" si="10"/>
        <v>77403.390407152736</v>
      </c>
      <c r="Q28" s="101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15" t="s">
        <v>380</v>
      </c>
      <c r="B29" s="69">
        <f>B15*2%</f>
        <v>581.17652999999996</v>
      </c>
      <c r="C29" s="42">
        <f t="shared" si="6"/>
        <v>620.43951059999983</v>
      </c>
      <c r="D29" s="27">
        <v>14</v>
      </c>
      <c r="E29" s="32">
        <v>0.90500000000000003</v>
      </c>
      <c r="F29" s="27">
        <f t="shared" si="2"/>
        <v>7445.2741271999985</v>
      </c>
      <c r="G29" s="36">
        <f t="shared" si="7"/>
        <v>1.5047480155739426</v>
      </c>
      <c r="H29" s="101">
        <f t="shared" ref="H29:H40" si="11">F29*G29</f>
        <v>11203.261468308216</v>
      </c>
      <c r="I29" s="101"/>
      <c r="J29" s="101">
        <v>0</v>
      </c>
      <c r="K29" s="101"/>
      <c r="L29" s="101">
        <f t="shared" si="9"/>
        <v>-294.16126620242477</v>
      </c>
      <c r="M29" s="101"/>
      <c r="N29" s="101">
        <f t="shared" si="4"/>
        <v>10909.10020210579</v>
      </c>
      <c r="O29" s="101"/>
      <c r="P29" s="101">
        <f t="shared" si="10"/>
        <v>88312.49060925853</v>
      </c>
      <c r="Q29" s="101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15" t="s">
        <v>381</v>
      </c>
      <c r="B30" s="69">
        <f>$B$15*$A$31</f>
        <v>3777.6474450000001</v>
      </c>
      <c r="C30" s="42">
        <f t="shared" si="6"/>
        <v>617.01166799999987</v>
      </c>
      <c r="D30" s="27">
        <v>15</v>
      </c>
      <c r="E30" s="32">
        <v>0.9</v>
      </c>
      <c r="F30" s="27">
        <f t="shared" si="2"/>
        <v>7404.1400159999985</v>
      </c>
      <c r="G30" s="36">
        <f>G29+(G29*$Q$13)</f>
        <v>1.5799854163526397</v>
      </c>
      <c r="H30" s="101">
        <f t="shared" si="11"/>
        <v>11698.433245912998</v>
      </c>
      <c r="I30" s="101"/>
      <c r="J30" s="101">
        <v>0</v>
      </c>
      <c r="K30" s="101"/>
      <c r="L30" s="101">
        <f t="shared" si="9"/>
        <v>-308.86932951254602</v>
      </c>
      <c r="M30" s="101"/>
      <c r="N30" s="101">
        <f t="shared" si="4"/>
        <v>11389.563916400451</v>
      </c>
      <c r="O30" s="101"/>
      <c r="P30" s="101">
        <f t="shared" si="10"/>
        <v>99702.054525658983</v>
      </c>
      <c r="Q30" s="101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70">
        <v>0.13</v>
      </c>
      <c r="B31" s="15"/>
      <c r="C31" s="42">
        <f t="shared" si="6"/>
        <v>612.21268835999979</v>
      </c>
      <c r="D31" s="27">
        <v>16</v>
      </c>
      <c r="E31" s="32">
        <v>0.89300000000000002</v>
      </c>
      <c r="F31" s="27">
        <f t="shared" si="2"/>
        <v>7346.5522603199979</v>
      </c>
      <c r="G31" s="36">
        <f>G30+(G30*$Q$13)</f>
        <v>1.6589846871702716</v>
      </c>
      <c r="H31" s="101">
        <f t="shared" si="11"/>
        <v>12187.817703367024</v>
      </c>
      <c r="I31" s="101"/>
      <c r="J31" s="101">
        <v>0</v>
      </c>
      <c r="K31" s="101"/>
      <c r="L31" s="101">
        <f t="shared" si="9"/>
        <v>-324.31279598817332</v>
      </c>
      <c r="M31" s="101"/>
      <c r="N31" s="101">
        <f>SUM(H31:M31)</f>
        <v>11863.50490737885</v>
      </c>
      <c r="O31" s="101"/>
      <c r="P31" s="101">
        <f t="shared" si="10"/>
        <v>111565.55943303784</v>
      </c>
      <c r="Q31" s="101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61">
        <f>SUM(B23:B30)</f>
        <v>28626.372014999997</v>
      </c>
      <c r="C32" s="42">
        <f>$C$15*E32</f>
        <v>607.41370871999982</v>
      </c>
      <c r="D32" s="27">
        <v>17</v>
      </c>
      <c r="E32" s="32">
        <v>0.88600000000000001</v>
      </c>
      <c r="F32" s="27">
        <f t="shared" si="2"/>
        <v>7288.9645046399983</v>
      </c>
      <c r="G32" s="36">
        <f t="shared" ref="G32:G40" si="12">G31+(G31*$Q$13)</f>
        <v>1.7419339215287852</v>
      </c>
      <c r="H32" s="101">
        <f t="shared" si="11"/>
        <v>12696.894523451672</v>
      </c>
      <c r="I32" s="101"/>
      <c r="J32" s="101">
        <v>0</v>
      </c>
      <c r="K32" s="101"/>
      <c r="L32" s="101">
        <f t="shared" si="9"/>
        <v>-340.528435787582</v>
      </c>
      <c r="M32" s="101"/>
      <c r="N32" s="101">
        <f t="shared" ref="N32:N40" si="13">SUM(H32:M32)</f>
        <v>12356.36608766409</v>
      </c>
      <c r="O32" s="101"/>
      <c r="P32" s="101">
        <f t="shared" si="10"/>
        <v>123921.92552070193</v>
      </c>
      <c r="Q32" s="101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42">
        <f>$C$15*E33</f>
        <v>602.61472907999985</v>
      </c>
      <c r="D33" s="27">
        <v>18</v>
      </c>
      <c r="E33" s="32">
        <v>0.879</v>
      </c>
      <c r="F33" s="27">
        <f t="shared" si="2"/>
        <v>7231.3767489599977</v>
      </c>
      <c r="G33" s="36">
        <f t="shared" si="12"/>
        <v>1.8290306176052245</v>
      </c>
      <c r="H33" s="101">
        <f t="shared" si="11"/>
        <v>13226.409481286364</v>
      </c>
      <c r="I33" s="101"/>
      <c r="J33" s="101">
        <v>0</v>
      </c>
      <c r="K33" s="101"/>
      <c r="L33" s="101">
        <f>(L32*$Q$13)+L32</f>
        <v>-357.55485757696113</v>
      </c>
      <c r="M33" s="101"/>
      <c r="N33" s="101">
        <f t="shared" si="13"/>
        <v>12868.854623709403</v>
      </c>
      <c r="O33" s="101"/>
      <c r="P33" s="101">
        <f t="shared" si="10"/>
        <v>136790.78014441134</v>
      </c>
      <c r="Q33" s="101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42">
        <f t="shared" ref="C34:C40" si="14">$C$15*E34</f>
        <v>597.81574943999988</v>
      </c>
      <c r="D34" s="27">
        <v>19</v>
      </c>
      <c r="E34" s="32">
        <v>0.872</v>
      </c>
      <c r="F34" s="27">
        <f t="shared" si="2"/>
        <v>7173.7889932799981</v>
      </c>
      <c r="G34" s="36">
        <f t="shared" si="12"/>
        <v>1.9204821484854857</v>
      </c>
      <c r="H34" s="101">
        <f t="shared" si="11"/>
        <v>13777.133698595901</v>
      </c>
      <c r="I34" s="101"/>
      <c r="J34" s="101">
        <v>0</v>
      </c>
      <c r="K34" s="101"/>
      <c r="L34" s="101">
        <f t="shared" ref="L34:L40" si="15">(L33*$Q$13)+L33</f>
        <v>-375.43260045580917</v>
      </c>
      <c r="M34" s="101"/>
      <c r="N34" s="101">
        <f t="shared" si="13"/>
        <v>13401.701098140091</v>
      </c>
      <c r="O34" s="101"/>
      <c r="P34" s="101">
        <f t="shared" si="10"/>
        <v>150192.48124255144</v>
      </c>
      <c r="Q34" s="101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42">
        <f t="shared" si="14"/>
        <v>593.70233831999985</v>
      </c>
      <c r="D35" s="27">
        <v>20</v>
      </c>
      <c r="E35" s="32">
        <v>0.86599999999999999</v>
      </c>
      <c r="F35" s="27">
        <f t="shared" si="2"/>
        <v>7124.4280598399982</v>
      </c>
      <c r="G35" s="36">
        <f t="shared" si="12"/>
        <v>2.0165062559097602</v>
      </c>
      <c r="H35" s="101">
        <f t="shared" si="11"/>
        <v>14366.453752446392</v>
      </c>
      <c r="I35" s="101"/>
      <c r="J35" s="101">
        <v>0</v>
      </c>
      <c r="K35" s="101"/>
      <c r="L35" s="101">
        <f t="shared" si="15"/>
        <v>-394.20423047859964</v>
      </c>
      <c r="M35" s="101"/>
      <c r="N35" s="101">
        <f t="shared" si="13"/>
        <v>13972.249521967793</v>
      </c>
      <c r="O35" s="101"/>
      <c r="P35" s="101">
        <f t="shared" si="10"/>
        <v>164164.73076451922</v>
      </c>
      <c r="Q35" s="101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4" t="s">
        <v>102</v>
      </c>
      <c r="B36" s="4" t="s">
        <v>103</v>
      </c>
      <c r="C36" s="42">
        <f t="shared" si="14"/>
        <v>588.90335867999977</v>
      </c>
      <c r="D36" s="27">
        <v>21</v>
      </c>
      <c r="E36" s="32">
        <v>0.85899999999999999</v>
      </c>
      <c r="F36" s="27">
        <f t="shared" si="2"/>
        <v>7066.8403041599977</v>
      </c>
      <c r="G36" s="36">
        <f t="shared" si="12"/>
        <v>2.1173315687052483</v>
      </c>
      <c r="H36" s="101">
        <f t="shared" si="11"/>
        <v>14962.844066996562</v>
      </c>
      <c r="I36" s="101"/>
      <c r="J36" s="101">
        <v>0</v>
      </c>
      <c r="K36" s="101"/>
      <c r="L36" s="101">
        <f t="shared" si="15"/>
        <v>-413.91444200252965</v>
      </c>
      <c r="M36" s="101"/>
      <c r="N36" s="101">
        <f t="shared" si="13"/>
        <v>14548.929624994033</v>
      </c>
      <c r="O36" s="101"/>
      <c r="P36" s="101">
        <f t="shared" si="10"/>
        <v>178713.66038951324</v>
      </c>
      <c r="Q36" s="101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2" t="s">
        <v>101</v>
      </c>
      <c r="B37" s="31">
        <v>7.14</v>
      </c>
      <c r="C37" s="42">
        <f t="shared" si="14"/>
        <v>584.78994755999986</v>
      </c>
      <c r="D37" s="27">
        <v>22</v>
      </c>
      <c r="E37" s="32">
        <v>0.85299999999999998</v>
      </c>
      <c r="F37" s="27">
        <f t="shared" si="2"/>
        <v>7017.4793707199979</v>
      </c>
      <c r="G37" s="36">
        <f t="shared" si="12"/>
        <v>2.2231981471405109</v>
      </c>
      <c r="H37" s="101">
        <f t="shared" si="11"/>
        <v>15601.247134581457</v>
      </c>
      <c r="I37" s="101"/>
      <c r="J37" s="101">
        <v>0</v>
      </c>
      <c r="K37" s="101"/>
      <c r="L37" s="101">
        <f t="shared" si="15"/>
        <v>-434.61016410265614</v>
      </c>
      <c r="M37" s="101"/>
      <c r="N37" s="101">
        <f t="shared" si="13"/>
        <v>15166.636970478801</v>
      </c>
      <c r="O37" s="101"/>
      <c r="P37" s="101">
        <f t="shared" si="10"/>
        <v>193880.29735999205</v>
      </c>
      <c r="Q37" s="101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41" t="s">
        <v>104</v>
      </c>
      <c r="B38" s="41" t="s">
        <v>105</v>
      </c>
      <c r="C38" s="42">
        <f t="shared" si="14"/>
        <v>579.30539939999983</v>
      </c>
      <c r="D38" s="27">
        <v>23</v>
      </c>
      <c r="E38" s="32">
        <v>0.84499999999999997</v>
      </c>
      <c r="F38" s="27">
        <f t="shared" si="2"/>
        <v>6951.6647927999975</v>
      </c>
      <c r="G38" s="36">
        <f t="shared" si="12"/>
        <v>2.3343580544975366</v>
      </c>
      <c r="H38" s="101">
        <f t="shared" si="11"/>
        <v>16227.674701239623</v>
      </c>
      <c r="I38" s="101"/>
      <c r="J38" s="101">
        <v>0</v>
      </c>
      <c r="K38" s="101"/>
      <c r="L38" s="101">
        <f t="shared" si="15"/>
        <v>-456.34067230778896</v>
      </c>
      <c r="M38" s="101"/>
      <c r="N38" s="101">
        <f t="shared" si="13"/>
        <v>15771.334028931833</v>
      </c>
      <c r="O38" s="101"/>
      <c r="P38" s="101">
        <f t="shared" si="10"/>
        <v>209651.63138892388</v>
      </c>
      <c r="Q38" s="101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27">
        <f>'Proposta Comercial'!$I$77</f>
        <v>1500</v>
      </c>
      <c r="B39" s="2">
        <f>$A$39*0.295</f>
        <v>442.5</v>
      </c>
      <c r="C39" s="42">
        <f t="shared" si="14"/>
        <v>574.50641975999986</v>
      </c>
      <c r="D39" s="27">
        <v>24</v>
      </c>
      <c r="E39" s="32">
        <v>0.83799999999999997</v>
      </c>
      <c r="F39" s="27">
        <f t="shared" si="2"/>
        <v>6894.0770371199978</v>
      </c>
      <c r="G39" s="36">
        <f t="shared" si="12"/>
        <v>2.4510759572224137</v>
      </c>
      <c r="H39" s="101">
        <f t="shared" si="11"/>
        <v>16897.906472923962</v>
      </c>
      <c r="I39" s="101"/>
      <c r="J39" s="101">
        <v>0</v>
      </c>
      <c r="K39" s="101"/>
      <c r="L39" s="101">
        <f t="shared" si="15"/>
        <v>-479.15770592317841</v>
      </c>
      <c r="M39" s="101"/>
      <c r="N39" s="101">
        <f t="shared" si="13"/>
        <v>16418.748767000783</v>
      </c>
      <c r="O39" s="101"/>
      <c r="P39" s="101">
        <f t="shared" si="10"/>
        <v>226070.38015592465</v>
      </c>
      <c r="Q39" s="101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98" t="s">
        <v>106</v>
      </c>
      <c r="B40" s="98"/>
      <c r="C40" s="42">
        <f t="shared" si="14"/>
        <v>569.70744011999977</v>
      </c>
      <c r="D40" s="27">
        <v>25</v>
      </c>
      <c r="E40" s="32">
        <v>0.83099999999999996</v>
      </c>
      <c r="F40" s="27">
        <f t="shared" si="2"/>
        <v>6836.4892814399982</v>
      </c>
      <c r="G40" s="36">
        <f t="shared" si="12"/>
        <v>2.5736297550835343</v>
      </c>
      <c r="H40" s="101">
        <f t="shared" si="11"/>
        <v>17594.592235023629</v>
      </c>
      <c r="I40" s="101"/>
      <c r="J40" s="101">
        <v>0</v>
      </c>
      <c r="K40" s="101"/>
      <c r="L40" s="101">
        <f t="shared" si="15"/>
        <v>-503.11559121933732</v>
      </c>
      <c r="M40" s="101"/>
      <c r="N40" s="101">
        <f t="shared" si="13"/>
        <v>17091.47664380429</v>
      </c>
      <c r="O40" s="101"/>
      <c r="P40" s="101">
        <f t="shared" si="10"/>
        <v>243161.85679972894</v>
      </c>
      <c r="Q40" s="101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 t="s">
        <v>107</v>
      </c>
      <c r="B41" s="27">
        <f>(((B39*12*25)/1000)*$B$37)</f>
        <v>947.83499999999992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104" t="s">
        <v>108</v>
      </c>
      <c r="B42" s="104"/>
      <c r="C42" s="3"/>
      <c r="D42" s="3"/>
      <c r="E42" s="3"/>
      <c r="F42" s="3"/>
      <c r="G42" s="3"/>
      <c r="H42" s="3"/>
      <c r="I42" s="3"/>
      <c r="J42" s="3"/>
      <c r="K42" s="3"/>
      <c r="L42" s="3"/>
      <c r="M42" s="3" t="s">
        <v>67</v>
      </c>
      <c r="N42" s="59">
        <f>IRR(N15:O40)</f>
        <v>0.25669250757656847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 t="s">
        <v>107</v>
      </c>
      <c r="B43" s="27">
        <f>(25*12*$B$39)/1000</f>
        <v>132.75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 t="s">
        <v>68</v>
      </c>
      <c r="N43" s="59">
        <v>0.2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60"/>
      <c r="B44" s="60"/>
      <c r="C44" s="60"/>
      <c r="D44" s="60"/>
      <c r="E44" s="60"/>
      <c r="F44" s="60"/>
      <c r="G44" s="60"/>
      <c r="H44" s="60"/>
      <c r="I44" s="3"/>
      <c r="J44" s="3"/>
      <c r="K44" s="3"/>
      <c r="L44" s="3"/>
      <c r="M44" s="3" t="s">
        <v>138</v>
      </c>
      <c r="N44" s="102">
        <f>NPV($N$43,$N$16:$O$40)+$N$15</f>
        <v>9693.807740658729</v>
      </c>
      <c r="O44" s="10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3"/>
    </row>
    <row r="46" spans="1:27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3"/>
    </row>
    <row r="47" spans="1:27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3"/>
    </row>
    <row r="48" spans="1:27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3"/>
    </row>
    <row r="49" spans="1:27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3"/>
    </row>
    <row r="50" spans="1:27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3"/>
    </row>
    <row r="51" spans="1:27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3"/>
    </row>
    <row r="52" spans="1:27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3"/>
    </row>
    <row r="53" spans="1:27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3"/>
    </row>
    <row r="54" spans="1:27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3"/>
    </row>
    <row r="55" spans="1:27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3"/>
    </row>
    <row r="56" spans="1:27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3"/>
    </row>
    <row r="57" spans="1:27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3"/>
    </row>
    <row r="58" spans="1:27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3"/>
    </row>
    <row r="59" spans="1:27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3"/>
    </row>
    <row r="60" spans="1:27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3"/>
    </row>
    <row r="61" spans="1:27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>
        <v>5546</v>
      </c>
      <c r="F64">
        <v>5669</v>
      </c>
      <c r="G64">
        <v>5767</v>
      </c>
      <c r="H64">
        <v>5231</v>
      </c>
      <c r="I64">
        <v>4626</v>
      </c>
      <c r="J64">
        <v>4063</v>
      </c>
      <c r="K64">
        <v>4164</v>
      </c>
      <c r="L64">
        <v>4898</v>
      </c>
      <c r="M64">
        <v>5491</v>
      </c>
      <c r="N64">
        <v>5751</v>
      </c>
      <c r="O64">
        <v>5994</v>
      </c>
      <c r="P64">
        <v>5764</v>
      </c>
      <c r="Q64">
        <v>5247</v>
      </c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>
        <v>0</v>
      </c>
      <c r="C90" s="3">
        <v>1</v>
      </c>
      <c r="D90" s="3">
        <v>2</v>
      </c>
      <c r="E90" s="3">
        <v>3</v>
      </c>
      <c r="F90" s="3">
        <v>4</v>
      </c>
      <c r="G90" s="3">
        <v>5</v>
      </c>
      <c r="H90" s="3">
        <v>6</v>
      </c>
      <c r="I90" s="3">
        <v>7</v>
      </c>
      <c r="J90" s="3">
        <v>8</v>
      </c>
      <c r="K90" s="3">
        <v>9</v>
      </c>
      <c r="L90" s="3">
        <v>10</v>
      </c>
      <c r="M90" s="3">
        <v>11</v>
      </c>
      <c r="N90" s="3">
        <v>12</v>
      </c>
      <c r="O90" s="3">
        <v>13</v>
      </c>
      <c r="P90" s="3">
        <v>14</v>
      </c>
      <c r="Q90" s="3">
        <v>15</v>
      </c>
      <c r="R90" s="3">
        <v>16</v>
      </c>
      <c r="S90" s="3">
        <v>17</v>
      </c>
      <c r="T90" s="3">
        <v>18</v>
      </c>
      <c r="U90" s="3">
        <v>19</v>
      </c>
      <c r="V90" s="3">
        <v>20</v>
      </c>
      <c r="W90" s="3">
        <v>21</v>
      </c>
      <c r="X90" s="3">
        <v>22</v>
      </c>
      <c r="Y90" s="3">
        <v>23</v>
      </c>
      <c r="Z90" s="3">
        <v>24</v>
      </c>
      <c r="AA90" s="3">
        <v>25</v>
      </c>
    </row>
    <row r="91" spans="1:27" x14ac:dyDescent="0.25">
      <c r="A91" s="3"/>
      <c r="B91" s="61">
        <f>P15</f>
        <v>-29058.826499999999</v>
      </c>
      <c r="C91" s="61">
        <f>P16</f>
        <v>-22813.947456168</v>
      </c>
      <c r="D91" s="61">
        <f>P17</f>
        <v>-16291.290731918882</v>
      </c>
      <c r="E91" s="61">
        <f>P18</f>
        <v>-9485.9286738931514</v>
      </c>
      <c r="F91" s="61">
        <f>P19</f>
        <v>-2378.2975775974983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61">
        <f>P20</f>
        <v>5044.8160556500043</v>
      </c>
      <c r="H92" s="61">
        <f>P21</f>
        <v>12788.812608052587</v>
      </c>
      <c r="I92" s="61">
        <f>P22</f>
        <v>20876.020320881416</v>
      </c>
      <c r="J92" s="61">
        <f>P23</f>
        <v>29321.400318798107</v>
      </c>
      <c r="K92" s="61">
        <f>P24</f>
        <v>38130.852309913127</v>
      </c>
      <c r="L92" s="61">
        <f>P25</f>
        <v>47329.85451972358</v>
      </c>
      <c r="M92" s="61">
        <f>P26</f>
        <v>56924.644640140556</v>
      </c>
      <c r="N92" s="61">
        <f>P27</f>
        <v>66943.032341679878</v>
      </c>
      <c r="O92" s="61">
        <f>P28</f>
        <v>77403.390407152736</v>
      </c>
      <c r="P92" s="61">
        <f>P29</f>
        <v>88312.49060925853</v>
      </c>
      <c r="Q92" s="61">
        <f>P30</f>
        <v>99702.054525658983</v>
      </c>
      <c r="R92" s="61">
        <f>P31</f>
        <v>111565.55943303784</v>
      </c>
      <c r="S92" s="61">
        <f>P32</f>
        <v>123921.92552070193</v>
      </c>
      <c r="T92" s="61">
        <f>P33</f>
        <v>136790.78014441134</v>
      </c>
      <c r="U92" s="61">
        <f>P34</f>
        <v>150192.48124255144</v>
      </c>
      <c r="V92" s="61">
        <f>P35</f>
        <v>164164.73076451922</v>
      </c>
      <c r="W92" s="61">
        <f>P36</f>
        <v>178713.66038951324</v>
      </c>
      <c r="X92" s="61">
        <f>P37</f>
        <v>193880.29735999205</v>
      </c>
      <c r="Y92" s="61">
        <f>P38</f>
        <v>209651.63138892388</v>
      </c>
      <c r="Z92" s="61">
        <f>P39</f>
        <v>226070.38015592465</v>
      </c>
      <c r="AA92" s="61">
        <f>P40</f>
        <v>243161.85679972894</v>
      </c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</sheetData>
  <sortState xmlns:xlrd2="http://schemas.microsoft.com/office/spreadsheetml/2017/richdata2" ref="A5:A14">
    <sortCondition ref="A5"/>
  </sortState>
  <mergeCells count="145">
    <mergeCell ref="N44:O44"/>
    <mergeCell ref="A40:B40"/>
    <mergeCell ref="A42:B42"/>
    <mergeCell ref="H39:I39"/>
    <mergeCell ref="J39:K39"/>
    <mergeCell ref="L39:M39"/>
    <mergeCell ref="N39:O39"/>
    <mergeCell ref="P39:Q39"/>
    <mergeCell ref="H40:I40"/>
    <mergeCell ref="J40:K40"/>
    <mergeCell ref="L40:M40"/>
    <mergeCell ref="N40:O40"/>
    <mergeCell ref="P40:Q40"/>
    <mergeCell ref="H37:I37"/>
    <mergeCell ref="J37:K37"/>
    <mergeCell ref="L37:M37"/>
    <mergeCell ref="N37:O37"/>
    <mergeCell ref="P37:Q37"/>
    <mergeCell ref="H38:I38"/>
    <mergeCell ref="J38:K38"/>
    <mergeCell ref="L38:M38"/>
    <mergeCell ref="N38:O38"/>
    <mergeCell ref="P38:Q38"/>
    <mergeCell ref="H35:I35"/>
    <mergeCell ref="J35:K35"/>
    <mergeCell ref="L35:M35"/>
    <mergeCell ref="N35:O35"/>
    <mergeCell ref="P35:Q35"/>
    <mergeCell ref="H36:I36"/>
    <mergeCell ref="J36:K36"/>
    <mergeCell ref="L36:M36"/>
    <mergeCell ref="N36:O36"/>
    <mergeCell ref="P36:Q36"/>
    <mergeCell ref="H33:I33"/>
    <mergeCell ref="J33:K33"/>
    <mergeCell ref="L33:M33"/>
    <mergeCell ref="N33:O33"/>
    <mergeCell ref="P33:Q33"/>
    <mergeCell ref="H34:I34"/>
    <mergeCell ref="J34:K34"/>
    <mergeCell ref="L34:M34"/>
    <mergeCell ref="N34:O34"/>
    <mergeCell ref="P34:Q34"/>
    <mergeCell ref="H31:I31"/>
    <mergeCell ref="J31:K31"/>
    <mergeCell ref="L31:M31"/>
    <mergeCell ref="N31:O31"/>
    <mergeCell ref="P31:Q31"/>
    <mergeCell ref="H32:I32"/>
    <mergeCell ref="J32:K32"/>
    <mergeCell ref="L32:M32"/>
    <mergeCell ref="N32:O32"/>
    <mergeCell ref="P32:Q32"/>
    <mergeCell ref="H29:I29"/>
    <mergeCell ref="J29:K29"/>
    <mergeCell ref="L29:M29"/>
    <mergeCell ref="N29:O29"/>
    <mergeCell ref="P29:Q29"/>
    <mergeCell ref="H30:I30"/>
    <mergeCell ref="J30:K30"/>
    <mergeCell ref="L30:M30"/>
    <mergeCell ref="N30:O30"/>
    <mergeCell ref="P30:Q30"/>
    <mergeCell ref="H27:I27"/>
    <mergeCell ref="J27:K27"/>
    <mergeCell ref="L27:M27"/>
    <mergeCell ref="N27:O27"/>
    <mergeCell ref="P27:Q27"/>
    <mergeCell ref="H28:I28"/>
    <mergeCell ref="J28:K28"/>
    <mergeCell ref="L28:M28"/>
    <mergeCell ref="N28:O28"/>
    <mergeCell ref="P28:Q28"/>
    <mergeCell ref="H25:I25"/>
    <mergeCell ref="J25:K25"/>
    <mergeCell ref="L25:M25"/>
    <mergeCell ref="N25:O25"/>
    <mergeCell ref="P25:Q25"/>
    <mergeCell ref="H26:I26"/>
    <mergeCell ref="J26:K26"/>
    <mergeCell ref="L26:M26"/>
    <mergeCell ref="N26:O26"/>
    <mergeCell ref="P26:Q26"/>
    <mergeCell ref="H23:I23"/>
    <mergeCell ref="J23:K23"/>
    <mergeCell ref="L23:M23"/>
    <mergeCell ref="N23:O23"/>
    <mergeCell ref="P23:Q23"/>
    <mergeCell ref="H24:I24"/>
    <mergeCell ref="J24:K24"/>
    <mergeCell ref="L24:M24"/>
    <mergeCell ref="N24:O24"/>
    <mergeCell ref="P24:Q24"/>
    <mergeCell ref="H21:I21"/>
    <mergeCell ref="J21:K21"/>
    <mergeCell ref="L21:M21"/>
    <mergeCell ref="N21:O21"/>
    <mergeCell ref="P21:Q21"/>
    <mergeCell ref="H22:I22"/>
    <mergeCell ref="J22:K22"/>
    <mergeCell ref="L22:M22"/>
    <mergeCell ref="N22:O22"/>
    <mergeCell ref="P22:Q22"/>
    <mergeCell ref="H19:I19"/>
    <mergeCell ref="J19:K19"/>
    <mergeCell ref="L19:M19"/>
    <mergeCell ref="N19:O19"/>
    <mergeCell ref="P19:Q19"/>
    <mergeCell ref="H20:I20"/>
    <mergeCell ref="J20:K20"/>
    <mergeCell ref="L20:M20"/>
    <mergeCell ref="N20:O20"/>
    <mergeCell ref="P20:Q20"/>
    <mergeCell ref="H17:I17"/>
    <mergeCell ref="J17:K17"/>
    <mergeCell ref="L17:M17"/>
    <mergeCell ref="N17:O17"/>
    <mergeCell ref="P17:Q17"/>
    <mergeCell ref="H18:I18"/>
    <mergeCell ref="J18:K18"/>
    <mergeCell ref="L18:M18"/>
    <mergeCell ref="N18:O18"/>
    <mergeCell ref="P18:Q18"/>
    <mergeCell ref="H16:I16"/>
    <mergeCell ref="J16:K16"/>
    <mergeCell ref="L16:M16"/>
    <mergeCell ref="N16:O16"/>
    <mergeCell ref="P16:Q16"/>
    <mergeCell ref="P14:Q14"/>
    <mergeCell ref="H15:I15"/>
    <mergeCell ref="J15:K15"/>
    <mergeCell ref="L15:M15"/>
    <mergeCell ref="N15:O15"/>
    <mergeCell ref="P15:Q15"/>
    <mergeCell ref="D3:P3"/>
    <mergeCell ref="D6:P6"/>
    <mergeCell ref="D10:P10"/>
    <mergeCell ref="D1:F1"/>
    <mergeCell ref="H1:I1"/>
    <mergeCell ref="H14:I14"/>
    <mergeCell ref="J14:K14"/>
    <mergeCell ref="L14:M14"/>
    <mergeCell ref="N14:O14"/>
    <mergeCell ref="D13:P13"/>
    <mergeCell ref="K1:M1"/>
  </mergeCells>
  <conditionalFormatting sqref="G15:Q40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225"/>
  <sheetViews>
    <sheetView topLeftCell="A73" workbookViewId="0">
      <selection activeCell="E84" sqref="E84:Q84"/>
    </sheetView>
  </sheetViews>
  <sheetFormatPr defaultRowHeight="15" x14ac:dyDescent="0.25"/>
  <cols>
    <col min="1" max="1" width="10.85546875" bestFit="1" customWidth="1"/>
    <col min="3" max="3" width="27.5703125" bestFit="1" customWidth="1"/>
    <col min="4" max="4" width="8.85546875" style="63"/>
  </cols>
  <sheetData>
    <row r="2" spans="1:17" x14ac:dyDescent="0.25">
      <c r="A2" s="64" t="s">
        <v>370</v>
      </c>
      <c r="B2" s="64" t="s">
        <v>371</v>
      </c>
      <c r="C2" s="64" t="s">
        <v>372</v>
      </c>
      <c r="D2" s="64" t="s">
        <v>373</v>
      </c>
      <c r="E2" s="64" t="s">
        <v>69</v>
      </c>
      <c r="F2" s="64" t="s">
        <v>70</v>
      </c>
      <c r="G2" s="64" t="s">
        <v>71</v>
      </c>
      <c r="H2" s="64" t="s">
        <v>72</v>
      </c>
      <c r="I2" s="64" t="s">
        <v>73</v>
      </c>
      <c r="J2" s="64" t="s">
        <v>74</v>
      </c>
      <c r="K2" s="64" t="s">
        <v>75</v>
      </c>
      <c r="L2" s="64" t="s">
        <v>76</v>
      </c>
      <c r="M2" s="64" t="s">
        <v>77</v>
      </c>
      <c r="N2" s="64" t="s">
        <v>78</v>
      </c>
      <c r="O2" s="64" t="s">
        <v>79</v>
      </c>
      <c r="P2" s="64" t="s">
        <v>80</v>
      </c>
      <c r="Q2" s="64" t="s">
        <v>81</v>
      </c>
    </row>
    <row r="3" spans="1:17" x14ac:dyDescent="0.25">
      <c r="A3" s="62">
        <v>-370093</v>
      </c>
      <c r="B3" s="62">
        <v>-81528</v>
      </c>
      <c r="C3" t="s">
        <v>143</v>
      </c>
      <c r="D3" s="63" t="s">
        <v>6</v>
      </c>
      <c r="E3" s="67">
        <v>6195</v>
      </c>
      <c r="F3">
        <v>5983</v>
      </c>
      <c r="G3">
        <v>6043</v>
      </c>
      <c r="H3">
        <v>5514</v>
      </c>
      <c r="I3">
        <v>4741</v>
      </c>
      <c r="J3">
        <v>4274</v>
      </c>
      <c r="K3">
        <v>4384</v>
      </c>
      <c r="L3">
        <v>5217</v>
      </c>
      <c r="M3">
        <v>6142</v>
      </c>
      <c r="N3">
        <v>6392</v>
      </c>
      <c r="O3">
        <v>6683</v>
      </c>
      <c r="P3">
        <v>6397</v>
      </c>
      <c r="Q3">
        <v>5664</v>
      </c>
    </row>
    <row r="4" spans="1:17" x14ac:dyDescent="0.25">
      <c r="A4" s="62">
        <v>-370993</v>
      </c>
      <c r="B4" s="62">
        <v>-8076</v>
      </c>
      <c r="C4" t="s">
        <v>144</v>
      </c>
      <c r="D4" s="63" t="s">
        <v>6</v>
      </c>
      <c r="E4">
        <v>6187</v>
      </c>
      <c r="F4">
        <v>6042</v>
      </c>
      <c r="G4">
        <v>5992</v>
      </c>
      <c r="H4">
        <v>5513</v>
      </c>
      <c r="I4">
        <v>4737</v>
      </c>
      <c r="J4">
        <v>4314</v>
      </c>
      <c r="K4">
        <v>4463</v>
      </c>
      <c r="L4">
        <v>5219</v>
      </c>
      <c r="M4">
        <v>6166</v>
      </c>
      <c r="N4">
        <v>6425</v>
      </c>
      <c r="O4">
        <v>6725</v>
      </c>
      <c r="P4">
        <v>6447</v>
      </c>
      <c r="Q4">
        <v>5686</v>
      </c>
    </row>
    <row r="5" spans="1:17" x14ac:dyDescent="0.25">
      <c r="A5" s="62">
        <v>-368554</v>
      </c>
      <c r="B5" s="62">
        <v>-80778</v>
      </c>
      <c r="C5" t="s">
        <v>145</v>
      </c>
      <c r="D5" s="63" t="s">
        <v>6</v>
      </c>
      <c r="E5">
        <v>6134</v>
      </c>
      <c r="F5">
        <v>5973</v>
      </c>
      <c r="G5">
        <v>5991</v>
      </c>
      <c r="H5">
        <v>5585</v>
      </c>
      <c r="I5">
        <v>4713</v>
      </c>
      <c r="J5">
        <v>4254</v>
      </c>
      <c r="K5">
        <v>4437</v>
      </c>
      <c r="L5">
        <v>5285</v>
      </c>
      <c r="M5">
        <v>6129</v>
      </c>
      <c r="N5">
        <v>6338</v>
      </c>
      <c r="O5">
        <v>6675</v>
      </c>
      <c r="P5">
        <v>6426</v>
      </c>
      <c r="Q5">
        <v>5662</v>
      </c>
    </row>
    <row r="6" spans="1:17" x14ac:dyDescent="0.25">
      <c r="A6" s="62">
        <v>-371221</v>
      </c>
      <c r="B6" s="62">
        <v>-78947</v>
      </c>
      <c r="C6" t="s">
        <v>146</v>
      </c>
      <c r="D6" s="63" t="s">
        <v>6</v>
      </c>
      <c r="E6">
        <v>6300</v>
      </c>
      <c r="F6">
        <v>6131</v>
      </c>
      <c r="G6">
        <v>6152</v>
      </c>
      <c r="H6">
        <v>5702</v>
      </c>
      <c r="I6">
        <v>4902</v>
      </c>
      <c r="J6">
        <v>4399</v>
      </c>
      <c r="K6">
        <v>4556</v>
      </c>
      <c r="L6">
        <v>5314</v>
      </c>
      <c r="M6">
        <v>6284</v>
      </c>
      <c r="N6">
        <v>6508</v>
      </c>
      <c r="O6">
        <v>6775</v>
      </c>
      <c r="P6">
        <v>6426</v>
      </c>
      <c r="Q6">
        <v>5788</v>
      </c>
    </row>
    <row r="7" spans="1:17" x14ac:dyDescent="0.25">
      <c r="A7" s="62">
        <v>-368245</v>
      </c>
      <c r="B7" s="62">
        <v>-78855</v>
      </c>
      <c r="C7" t="s">
        <v>147</v>
      </c>
      <c r="D7" s="63" t="s">
        <v>6</v>
      </c>
      <c r="E7">
        <v>6200</v>
      </c>
      <c r="F7">
        <v>6104</v>
      </c>
      <c r="G7">
        <v>6097</v>
      </c>
      <c r="H7">
        <v>5673</v>
      </c>
      <c r="I7">
        <v>4849</v>
      </c>
      <c r="J7">
        <v>4395</v>
      </c>
      <c r="K7">
        <v>4499</v>
      </c>
      <c r="L7">
        <v>5273</v>
      </c>
      <c r="M7">
        <v>6168</v>
      </c>
      <c r="N7">
        <v>6430</v>
      </c>
      <c r="O7">
        <v>6653</v>
      </c>
      <c r="P7">
        <v>6390</v>
      </c>
      <c r="Q7">
        <v>5728</v>
      </c>
    </row>
    <row r="8" spans="1:17" x14ac:dyDescent="0.25">
      <c r="A8" s="62">
        <v>-366584</v>
      </c>
      <c r="B8" s="62">
        <v>-77912</v>
      </c>
      <c r="C8" t="s">
        <v>148</v>
      </c>
      <c r="D8" s="63" t="s">
        <v>6</v>
      </c>
      <c r="E8">
        <v>6137</v>
      </c>
      <c r="F8">
        <v>6012</v>
      </c>
      <c r="G8">
        <v>6053</v>
      </c>
      <c r="H8">
        <v>5631</v>
      </c>
      <c r="I8">
        <v>4838</v>
      </c>
      <c r="J8">
        <v>4359</v>
      </c>
      <c r="K8">
        <v>4479</v>
      </c>
      <c r="L8">
        <v>5212</v>
      </c>
      <c r="M8">
        <v>6028</v>
      </c>
      <c r="N8">
        <v>6325</v>
      </c>
      <c r="O8">
        <v>6535</v>
      </c>
      <c r="P8">
        <v>6274</v>
      </c>
      <c r="Q8">
        <v>5657</v>
      </c>
    </row>
    <row r="9" spans="1:17" x14ac:dyDescent="0.25">
      <c r="A9" s="62">
        <v>-363166</v>
      </c>
      <c r="B9" s="62">
        <v>-77527</v>
      </c>
      <c r="C9" t="s">
        <v>149</v>
      </c>
      <c r="D9" s="63" t="s">
        <v>6</v>
      </c>
      <c r="E9">
        <v>6003</v>
      </c>
      <c r="F9">
        <v>5906</v>
      </c>
      <c r="G9">
        <v>5926</v>
      </c>
      <c r="H9">
        <v>5460</v>
      </c>
      <c r="I9">
        <v>4788</v>
      </c>
      <c r="J9">
        <v>4321</v>
      </c>
      <c r="K9">
        <v>4457</v>
      </c>
      <c r="L9">
        <v>5170</v>
      </c>
      <c r="M9">
        <v>5855</v>
      </c>
      <c r="N9">
        <v>6122</v>
      </c>
      <c r="O9">
        <v>6350</v>
      </c>
      <c r="P9">
        <v>6091</v>
      </c>
      <c r="Q9">
        <v>5538</v>
      </c>
    </row>
    <row r="10" spans="1:17" x14ac:dyDescent="0.25">
      <c r="A10" s="62">
        <v>-381003</v>
      </c>
      <c r="B10" s="62">
        <v>-77431</v>
      </c>
      <c r="C10" t="s">
        <v>150</v>
      </c>
      <c r="D10" s="63" t="s">
        <v>6</v>
      </c>
      <c r="E10">
        <v>6157</v>
      </c>
      <c r="F10">
        <v>6109</v>
      </c>
      <c r="G10">
        <v>6139</v>
      </c>
      <c r="H10">
        <v>5720</v>
      </c>
      <c r="I10">
        <v>5048</v>
      </c>
      <c r="J10">
        <v>4690</v>
      </c>
      <c r="K10">
        <v>4940</v>
      </c>
      <c r="L10">
        <v>5779</v>
      </c>
      <c r="M10">
        <v>6472</v>
      </c>
      <c r="N10">
        <v>6564</v>
      </c>
      <c r="O10">
        <v>6738</v>
      </c>
      <c r="P10">
        <v>6323</v>
      </c>
      <c r="Q10">
        <v>5890</v>
      </c>
    </row>
    <row r="11" spans="1:17" x14ac:dyDescent="0.25">
      <c r="A11" s="62">
        <v>-381526</v>
      </c>
      <c r="B11" s="62">
        <v>-77037</v>
      </c>
      <c r="C11" t="s">
        <v>151</v>
      </c>
      <c r="D11" s="63" t="s">
        <v>6</v>
      </c>
      <c r="E11">
        <v>6157</v>
      </c>
      <c r="F11">
        <v>6109</v>
      </c>
      <c r="G11">
        <v>6139</v>
      </c>
      <c r="H11">
        <v>5720</v>
      </c>
      <c r="I11">
        <v>5048</v>
      </c>
      <c r="J11">
        <v>4690</v>
      </c>
      <c r="K11">
        <v>4940</v>
      </c>
      <c r="L11">
        <v>5779</v>
      </c>
      <c r="M11">
        <v>6472</v>
      </c>
      <c r="N11">
        <v>6564</v>
      </c>
      <c r="O11">
        <v>6738</v>
      </c>
      <c r="P11">
        <v>6323</v>
      </c>
      <c r="Q11">
        <v>5890</v>
      </c>
    </row>
    <row r="12" spans="1:17" x14ac:dyDescent="0.25">
      <c r="A12" s="62">
        <v>-37994</v>
      </c>
      <c r="B12" s="62">
        <v>-77366</v>
      </c>
      <c r="C12" t="s">
        <v>152</v>
      </c>
      <c r="D12" s="63" t="s">
        <v>6</v>
      </c>
      <c r="E12">
        <v>6182</v>
      </c>
      <c r="F12">
        <v>6137</v>
      </c>
      <c r="G12">
        <v>6126</v>
      </c>
      <c r="H12">
        <v>5768</v>
      </c>
      <c r="I12">
        <v>5054</v>
      </c>
      <c r="J12">
        <v>4626</v>
      </c>
      <c r="K12">
        <v>4890</v>
      </c>
      <c r="L12">
        <v>5727</v>
      </c>
      <c r="M12">
        <v>6445</v>
      </c>
      <c r="N12">
        <v>6554</v>
      </c>
      <c r="O12">
        <v>6687</v>
      </c>
      <c r="P12">
        <v>6350</v>
      </c>
      <c r="Q12">
        <v>5879</v>
      </c>
    </row>
    <row r="13" spans="1:17" x14ac:dyDescent="0.25">
      <c r="A13" s="62">
        <v>-370836</v>
      </c>
      <c r="B13" s="62">
        <v>-7695</v>
      </c>
      <c r="C13" t="s">
        <v>153</v>
      </c>
      <c r="D13" s="63" t="s">
        <v>6</v>
      </c>
      <c r="E13">
        <v>6183</v>
      </c>
      <c r="F13">
        <v>6100</v>
      </c>
      <c r="G13">
        <v>6063</v>
      </c>
      <c r="H13">
        <v>5734</v>
      </c>
      <c r="I13">
        <v>4948</v>
      </c>
      <c r="J13">
        <v>4454</v>
      </c>
      <c r="K13">
        <v>4611</v>
      </c>
      <c r="L13">
        <v>5383</v>
      </c>
      <c r="M13">
        <v>6232</v>
      </c>
      <c r="N13">
        <v>6475</v>
      </c>
      <c r="O13">
        <v>6657</v>
      </c>
      <c r="P13">
        <v>6353</v>
      </c>
      <c r="Q13">
        <v>5766</v>
      </c>
    </row>
    <row r="14" spans="1:17" x14ac:dyDescent="0.25">
      <c r="A14" s="62">
        <v>-368828</v>
      </c>
      <c r="B14" s="62">
        <v>-76725</v>
      </c>
      <c r="C14" t="s">
        <v>154</v>
      </c>
      <c r="D14" s="63" t="s">
        <v>6</v>
      </c>
      <c r="E14">
        <v>6118</v>
      </c>
      <c r="F14">
        <v>6053</v>
      </c>
      <c r="G14">
        <v>6032</v>
      </c>
      <c r="H14">
        <v>5636</v>
      </c>
      <c r="I14">
        <v>4885</v>
      </c>
      <c r="J14">
        <v>4401</v>
      </c>
      <c r="K14">
        <v>4573</v>
      </c>
      <c r="L14">
        <v>5282</v>
      </c>
      <c r="M14">
        <v>6138</v>
      </c>
      <c r="N14">
        <v>6378</v>
      </c>
      <c r="O14">
        <v>6574</v>
      </c>
      <c r="P14">
        <v>6277</v>
      </c>
      <c r="Q14">
        <v>5695</v>
      </c>
    </row>
    <row r="15" spans="1:17" x14ac:dyDescent="0.25">
      <c r="A15" s="62">
        <v>-364935</v>
      </c>
      <c r="B15" s="62">
        <v>-77283</v>
      </c>
      <c r="C15" t="s">
        <v>155</v>
      </c>
      <c r="D15" s="63" t="s">
        <v>6</v>
      </c>
      <c r="E15">
        <v>5969</v>
      </c>
      <c r="F15">
        <v>5887</v>
      </c>
      <c r="G15">
        <v>5949</v>
      </c>
      <c r="H15">
        <v>5474</v>
      </c>
      <c r="I15">
        <v>4759</v>
      </c>
      <c r="J15">
        <v>4249</v>
      </c>
      <c r="K15">
        <v>4433</v>
      </c>
      <c r="L15">
        <v>5161</v>
      </c>
      <c r="M15">
        <v>5867</v>
      </c>
      <c r="N15">
        <v>6166</v>
      </c>
      <c r="O15">
        <v>6371</v>
      </c>
      <c r="P15">
        <v>6119</v>
      </c>
      <c r="Q15">
        <v>5533</v>
      </c>
    </row>
    <row r="16" spans="1:17" x14ac:dyDescent="0.25">
      <c r="A16" s="62">
        <v>-361577</v>
      </c>
      <c r="B16" s="62">
        <v>-7681</v>
      </c>
      <c r="C16" t="s">
        <v>156</v>
      </c>
      <c r="D16" s="63" t="s">
        <v>6</v>
      </c>
      <c r="E16">
        <v>5886</v>
      </c>
      <c r="F16">
        <v>5858</v>
      </c>
      <c r="G16">
        <v>5856</v>
      </c>
      <c r="H16">
        <v>5351</v>
      </c>
      <c r="I16">
        <v>4703</v>
      </c>
      <c r="J16">
        <v>4176</v>
      </c>
      <c r="K16">
        <v>4381</v>
      </c>
      <c r="L16">
        <v>5048</v>
      </c>
      <c r="M16">
        <v>5710</v>
      </c>
      <c r="N16">
        <v>6004</v>
      </c>
      <c r="O16">
        <v>6260</v>
      </c>
      <c r="P16">
        <v>5986</v>
      </c>
      <c r="Q16">
        <v>5435</v>
      </c>
    </row>
    <row r="17" spans="1:17" x14ac:dyDescent="0.25">
      <c r="A17" s="62">
        <v>-360514</v>
      </c>
      <c r="B17" s="62">
        <v>-77371</v>
      </c>
      <c r="C17" t="s">
        <v>157</v>
      </c>
      <c r="D17" s="63" t="s">
        <v>6</v>
      </c>
      <c r="E17">
        <v>5857</v>
      </c>
      <c r="F17">
        <v>5813</v>
      </c>
      <c r="G17">
        <v>5792</v>
      </c>
      <c r="H17">
        <v>5295</v>
      </c>
      <c r="I17">
        <v>4681</v>
      </c>
      <c r="J17">
        <v>4158</v>
      </c>
      <c r="K17">
        <v>4370</v>
      </c>
      <c r="L17">
        <v>4994</v>
      </c>
      <c r="M17">
        <v>5639</v>
      </c>
      <c r="N17">
        <v>5924</v>
      </c>
      <c r="O17">
        <v>6186</v>
      </c>
      <c r="P17">
        <v>5902</v>
      </c>
      <c r="Q17">
        <v>5384</v>
      </c>
    </row>
    <row r="18" spans="1:17" x14ac:dyDescent="0.25">
      <c r="A18" s="62">
        <v>-358794</v>
      </c>
      <c r="B18" s="62">
        <v>-7743</v>
      </c>
      <c r="C18" t="s">
        <v>158</v>
      </c>
      <c r="D18" s="63" t="s">
        <v>6</v>
      </c>
      <c r="E18">
        <v>5725</v>
      </c>
      <c r="F18">
        <v>5763</v>
      </c>
      <c r="G18">
        <v>5777</v>
      </c>
      <c r="H18">
        <v>5234</v>
      </c>
      <c r="I18">
        <v>4597</v>
      </c>
      <c r="J18">
        <v>4149</v>
      </c>
      <c r="K18">
        <v>4332</v>
      </c>
      <c r="L18">
        <v>5001</v>
      </c>
      <c r="M18">
        <v>5616</v>
      </c>
      <c r="N18">
        <v>5871</v>
      </c>
      <c r="O18">
        <v>6100</v>
      </c>
      <c r="P18">
        <v>5906</v>
      </c>
      <c r="Q18">
        <v>5339</v>
      </c>
    </row>
    <row r="19" spans="1:17" x14ac:dyDescent="0.25">
      <c r="A19" s="62">
        <v>-356639</v>
      </c>
      <c r="B19" s="62">
        <v>-76955</v>
      </c>
      <c r="C19" t="s">
        <v>159</v>
      </c>
      <c r="D19" s="63" t="s">
        <v>6</v>
      </c>
      <c r="E19">
        <v>5664</v>
      </c>
      <c r="F19">
        <v>5769</v>
      </c>
      <c r="G19">
        <v>5832</v>
      </c>
      <c r="H19">
        <v>5203</v>
      </c>
      <c r="I19">
        <v>4510</v>
      </c>
      <c r="J19">
        <v>4037</v>
      </c>
      <c r="K19">
        <v>4246</v>
      </c>
      <c r="L19">
        <v>4960</v>
      </c>
      <c r="M19">
        <v>5571</v>
      </c>
      <c r="N19">
        <v>5822</v>
      </c>
      <c r="O19">
        <v>6131</v>
      </c>
      <c r="P19">
        <v>5979</v>
      </c>
      <c r="Q19">
        <v>5310</v>
      </c>
    </row>
    <row r="20" spans="1:17" x14ac:dyDescent="0.25">
      <c r="A20" s="62">
        <v>-385101</v>
      </c>
      <c r="B20" s="62">
        <v>-75563</v>
      </c>
      <c r="C20" t="s">
        <v>160</v>
      </c>
      <c r="D20" s="63" t="s">
        <v>6</v>
      </c>
      <c r="E20">
        <v>6212</v>
      </c>
      <c r="F20">
        <v>6063</v>
      </c>
      <c r="G20">
        <v>6017</v>
      </c>
      <c r="H20">
        <v>5688</v>
      </c>
      <c r="I20">
        <v>5069</v>
      </c>
      <c r="J20">
        <v>4703</v>
      </c>
      <c r="K20">
        <v>4938</v>
      </c>
      <c r="L20">
        <v>5776</v>
      </c>
      <c r="M20">
        <v>6530</v>
      </c>
      <c r="N20">
        <v>6556</v>
      </c>
      <c r="O20">
        <v>6780</v>
      </c>
      <c r="P20">
        <v>6437</v>
      </c>
      <c r="Q20">
        <v>5897</v>
      </c>
    </row>
    <row r="21" spans="1:17" x14ac:dyDescent="0.25">
      <c r="A21" s="62">
        <v>-385593</v>
      </c>
      <c r="B21" s="62">
        <v>-76268</v>
      </c>
      <c r="C21" t="s">
        <v>161</v>
      </c>
      <c r="D21" s="63" t="s">
        <v>6</v>
      </c>
      <c r="E21">
        <v>6212</v>
      </c>
      <c r="F21">
        <v>6063</v>
      </c>
      <c r="G21">
        <v>6017</v>
      </c>
      <c r="H21">
        <v>5688</v>
      </c>
      <c r="I21">
        <v>5069</v>
      </c>
      <c r="J21">
        <v>4703</v>
      </c>
      <c r="K21">
        <v>4938</v>
      </c>
      <c r="L21">
        <v>5776</v>
      </c>
      <c r="M21">
        <v>6530</v>
      </c>
      <c r="N21">
        <v>6556</v>
      </c>
      <c r="O21">
        <v>6780</v>
      </c>
      <c r="P21">
        <v>6437</v>
      </c>
      <c r="Q21">
        <v>5897</v>
      </c>
    </row>
    <row r="22" spans="1:17" x14ac:dyDescent="0.25">
      <c r="A22" s="62">
        <v>-383365</v>
      </c>
      <c r="B22" s="62">
        <v>-7552</v>
      </c>
      <c r="C22" t="s">
        <v>162</v>
      </c>
      <c r="D22" s="63" t="s">
        <v>6</v>
      </c>
      <c r="E22">
        <v>6167</v>
      </c>
      <c r="F22">
        <v>6107</v>
      </c>
      <c r="G22">
        <v>6083</v>
      </c>
      <c r="H22">
        <v>5783</v>
      </c>
      <c r="I22">
        <v>5108</v>
      </c>
      <c r="J22">
        <v>4744</v>
      </c>
      <c r="K22">
        <v>5018</v>
      </c>
      <c r="L22">
        <v>5784</v>
      </c>
      <c r="M22">
        <v>6495</v>
      </c>
      <c r="N22">
        <v>6584</v>
      </c>
      <c r="O22">
        <v>6777</v>
      </c>
      <c r="P22">
        <v>6388</v>
      </c>
      <c r="Q22">
        <v>5920</v>
      </c>
    </row>
    <row r="23" spans="1:17" x14ac:dyDescent="0.25">
      <c r="A23" s="62">
        <v>-378715</v>
      </c>
      <c r="B23" s="62">
        <v>-76274</v>
      </c>
      <c r="C23" t="s">
        <v>163</v>
      </c>
      <c r="D23" s="63" t="s">
        <v>6</v>
      </c>
      <c r="E23">
        <v>6129</v>
      </c>
      <c r="F23">
        <v>6142</v>
      </c>
      <c r="G23">
        <v>6120</v>
      </c>
      <c r="H23">
        <v>5778</v>
      </c>
      <c r="I23">
        <v>5063</v>
      </c>
      <c r="J23">
        <v>4731</v>
      </c>
      <c r="K23">
        <v>4992</v>
      </c>
      <c r="L23">
        <v>5765</v>
      </c>
      <c r="M23">
        <v>6427</v>
      </c>
      <c r="N23">
        <v>6506</v>
      </c>
      <c r="O23">
        <v>6646</v>
      </c>
      <c r="P23">
        <v>6278</v>
      </c>
      <c r="Q23">
        <v>5882</v>
      </c>
    </row>
    <row r="24" spans="1:17" x14ac:dyDescent="0.25">
      <c r="A24" s="62">
        <v>-371522</v>
      </c>
      <c r="B24" s="62">
        <v>-76165</v>
      </c>
      <c r="C24" t="s">
        <v>164</v>
      </c>
      <c r="D24" s="63" t="s">
        <v>6</v>
      </c>
      <c r="E24">
        <v>6136</v>
      </c>
      <c r="F24">
        <v>6122</v>
      </c>
      <c r="G24">
        <v>6100</v>
      </c>
      <c r="H24">
        <v>5747</v>
      </c>
      <c r="I24">
        <v>4982</v>
      </c>
      <c r="J24">
        <v>4527</v>
      </c>
      <c r="K24">
        <v>4720</v>
      </c>
      <c r="L24">
        <v>5465</v>
      </c>
      <c r="M24">
        <v>6310</v>
      </c>
      <c r="N24">
        <v>6525</v>
      </c>
      <c r="O24">
        <v>6668</v>
      </c>
      <c r="P24">
        <v>6335</v>
      </c>
      <c r="Q24">
        <v>5803</v>
      </c>
    </row>
    <row r="25" spans="1:17" x14ac:dyDescent="0.25">
      <c r="A25" s="62">
        <v>-37063</v>
      </c>
      <c r="B25" s="62">
        <v>-75674</v>
      </c>
      <c r="C25" t="s">
        <v>165</v>
      </c>
      <c r="D25" s="63" t="s">
        <v>6</v>
      </c>
      <c r="E25">
        <v>6210</v>
      </c>
      <c r="F25">
        <v>6099</v>
      </c>
      <c r="G25">
        <v>6065</v>
      </c>
      <c r="H25">
        <v>5705</v>
      </c>
      <c r="I25">
        <v>4959</v>
      </c>
      <c r="J25">
        <v>4491</v>
      </c>
      <c r="K25">
        <v>4700</v>
      </c>
      <c r="L25">
        <v>5466</v>
      </c>
      <c r="M25">
        <v>6248</v>
      </c>
      <c r="N25">
        <v>6479</v>
      </c>
      <c r="O25">
        <v>6603</v>
      </c>
      <c r="P25">
        <v>6309</v>
      </c>
      <c r="Q25">
        <v>5778</v>
      </c>
    </row>
    <row r="26" spans="1:17" x14ac:dyDescent="0.25">
      <c r="A26" s="62">
        <v>-366058</v>
      </c>
      <c r="B26" s="62">
        <v>-76275</v>
      </c>
      <c r="C26" t="s">
        <v>166</v>
      </c>
      <c r="D26" s="63" t="s">
        <v>6</v>
      </c>
      <c r="E26">
        <v>5954</v>
      </c>
      <c r="F26">
        <v>5911</v>
      </c>
      <c r="G26">
        <v>5989</v>
      </c>
      <c r="H26">
        <v>5549</v>
      </c>
      <c r="I26">
        <v>4880</v>
      </c>
      <c r="J26">
        <v>4358</v>
      </c>
      <c r="K26">
        <v>4523</v>
      </c>
      <c r="L26">
        <v>5231</v>
      </c>
      <c r="M26">
        <v>6006</v>
      </c>
      <c r="N26">
        <v>6256</v>
      </c>
      <c r="O26">
        <v>6396</v>
      </c>
      <c r="P26">
        <v>6135</v>
      </c>
      <c r="Q26">
        <v>5599</v>
      </c>
    </row>
    <row r="27" spans="1:17" x14ac:dyDescent="0.25">
      <c r="A27" s="62">
        <v>-364377</v>
      </c>
      <c r="B27" s="62">
        <v>-76332</v>
      </c>
      <c r="C27" t="s">
        <v>167</v>
      </c>
      <c r="D27" s="63" t="s">
        <v>6</v>
      </c>
      <c r="E27">
        <v>5884</v>
      </c>
      <c r="F27">
        <v>5777</v>
      </c>
      <c r="G27">
        <v>5916</v>
      </c>
      <c r="H27">
        <v>5394</v>
      </c>
      <c r="I27">
        <v>4773</v>
      </c>
      <c r="J27">
        <v>4207</v>
      </c>
      <c r="K27">
        <v>4437</v>
      </c>
      <c r="L27">
        <v>5090</v>
      </c>
      <c r="M27">
        <v>5861</v>
      </c>
      <c r="N27">
        <v>6155</v>
      </c>
      <c r="O27">
        <v>6338</v>
      </c>
      <c r="P27">
        <v>6127</v>
      </c>
      <c r="Q27">
        <v>5497</v>
      </c>
    </row>
    <row r="28" spans="1:17" x14ac:dyDescent="0.25">
      <c r="A28" s="62">
        <v>-357902</v>
      </c>
      <c r="B28" s="62">
        <v>-75832</v>
      </c>
      <c r="C28" t="s">
        <v>168</v>
      </c>
      <c r="D28" s="63" t="s">
        <v>6</v>
      </c>
      <c r="E28">
        <v>5665</v>
      </c>
      <c r="F28">
        <v>5735</v>
      </c>
      <c r="G28">
        <v>5753</v>
      </c>
      <c r="H28">
        <v>5206</v>
      </c>
      <c r="I28">
        <v>4560</v>
      </c>
      <c r="J28">
        <v>4068</v>
      </c>
      <c r="K28">
        <v>4297</v>
      </c>
      <c r="L28">
        <v>4916</v>
      </c>
      <c r="M28">
        <v>5524</v>
      </c>
      <c r="N28">
        <v>5788</v>
      </c>
      <c r="O28">
        <v>6033</v>
      </c>
      <c r="P28">
        <v>5788</v>
      </c>
      <c r="Q28">
        <v>5278</v>
      </c>
    </row>
    <row r="29" spans="1:17" x14ac:dyDescent="0.25">
      <c r="A29" s="62">
        <v>-355531</v>
      </c>
      <c r="B29" s="62">
        <v>-76435</v>
      </c>
      <c r="C29" t="s">
        <v>169</v>
      </c>
      <c r="D29" s="63" t="s">
        <v>6</v>
      </c>
      <c r="E29">
        <v>5709</v>
      </c>
      <c r="F29">
        <v>5925</v>
      </c>
      <c r="G29">
        <v>5900</v>
      </c>
      <c r="H29">
        <v>5300</v>
      </c>
      <c r="I29">
        <v>4543</v>
      </c>
      <c r="J29">
        <v>4079</v>
      </c>
      <c r="K29">
        <v>4234</v>
      </c>
      <c r="L29">
        <v>5009</v>
      </c>
      <c r="M29">
        <v>5618</v>
      </c>
      <c r="N29">
        <v>5917</v>
      </c>
      <c r="O29">
        <v>6219</v>
      </c>
      <c r="P29">
        <v>6062</v>
      </c>
      <c r="Q29">
        <v>5376</v>
      </c>
    </row>
    <row r="30" spans="1:17" x14ac:dyDescent="0.25">
      <c r="A30" s="62">
        <v>-384062</v>
      </c>
      <c r="B30" t="s">
        <v>170</v>
      </c>
      <c r="C30" t="s">
        <v>171</v>
      </c>
      <c r="D30" s="63" t="s">
        <v>6</v>
      </c>
      <c r="E30">
        <v>6247</v>
      </c>
      <c r="F30">
        <v>6143</v>
      </c>
      <c r="G30">
        <v>6043</v>
      </c>
      <c r="H30">
        <v>5756</v>
      </c>
      <c r="I30">
        <v>5134</v>
      </c>
      <c r="J30">
        <v>4738</v>
      </c>
      <c r="K30">
        <v>5001</v>
      </c>
      <c r="L30">
        <v>5824</v>
      </c>
      <c r="M30">
        <v>6548</v>
      </c>
      <c r="N30">
        <v>6588</v>
      </c>
      <c r="O30">
        <v>6798</v>
      </c>
      <c r="P30">
        <v>6476</v>
      </c>
      <c r="Q30">
        <v>5941</v>
      </c>
    </row>
    <row r="31" spans="1:17" x14ac:dyDescent="0.25">
      <c r="A31" s="62">
        <v>-38199</v>
      </c>
      <c r="B31" s="62">
        <v>-75394</v>
      </c>
      <c r="C31" t="s">
        <v>172</v>
      </c>
      <c r="D31" s="63" t="s">
        <v>6</v>
      </c>
      <c r="E31">
        <v>6223</v>
      </c>
      <c r="F31">
        <v>6133</v>
      </c>
      <c r="G31">
        <v>6223</v>
      </c>
      <c r="H31">
        <v>5864</v>
      </c>
      <c r="I31">
        <v>5199</v>
      </c>
      <c r="J31">
        <v>4766</v>
      </c>
      <c r="K31">
        <v>5005</v>
      </c>
      <c r="L31">
        <v>5870</v>
      </c>
      <c r="M31">
        <v>6554</v>
      </c>
      <c r="N31">
        <v>6639</v>
      </c>
      <c r="O31">
        <v>6798</v>
      </c>
      <c r="P31">
        <v>6423</v>
      </c>
      <c r="Q31">
        <v>5974</v>
      </c>
    </row>
    <row r="32" spans="1:17" x14ac:dyDescent="0.25">
      <c r="A32" s="62">
        <v>-380399</v>
      </c>
      <c r="B32" s="62">
        <v>-74784</v>
      </c>
      <c r="C32" t="s">
        <v>173</v>
      </c>
      <c r="D32" s="63" t="s">
        <v>6</v>
      </c>
      <c r="E32">
        <v>6252</v>
      </c>
      <c r="F32">
        <v>6179</v>
      </c>
      <c r="G32">
        <v>6251</v>
      </c>
      <c r="H32">
        <v>5888</v>
      </c>
      <c r="I32">
        <v>5179</v>
      </c>
      <c r="J32">
        <v>4757</v>
      </c>
      <c r="K32">
        <v>5001</v>
      </c>
      <c r="L32">
        <v>5862</v>
      </c>
      <c r="M32">
        <v>6534</v>
      </c>
      <c r="N32">
        <v>6608</v>
      </c>
      <c r="O32">
        <v>6782</v>
      </c>
      <c r="P32">
        <v>6428</v>
      </c>
      <c r="Q32">
        <v>5977</v>
      </c>
    </row>
    <row r="33" spans="1:17" x14ac:dyDescent="0.25">
      <c r="A33" s="62">
        <v>-378202</v>
      </c>
      <c r="B33" s="62">
        <v>-75383</v>
      </c>
      <c r="C33" t="s">
        <v>174</v>
      </c>
      <c r="D33" s="63" t="s">
        <v>6</v>
      </c>
      <c r="E33">
        <v>6068</v>
      </c>
      <c r="F33">
        <v>6073</v>
      </c>
      <c r="G33">
        <v>6036</v>
      </c>
      <c r="H33">
        <v>5780</v>
      </c>
      <c r="I33">
        <v>5124</v>
      </c>
      <c r="J33">
        <v>4781</v>
      </c>
      <c r="K33">
        <v>5022</v>
      </c>
      <c r="L33">
        <v>5824</v>
      </c>
      <c r="M33">
        <v>6535</v>
      </c>
      <c r="N33">
        <v>6577</v>
      </c>
      <c r="O33">
        <v>6694</v>
      </c>
      <c r="P33">
        <v>6270</v>
      </c>
      <c r="Q33">
        <v>5899</v>
      </c>
    </row>
    <row r="34" spans="1:17" x14ac:dyDescent="0.25">
      <c r="A34" s="62">
        <v>-37636</v>
      </c>
      <c r="B34" s="62">
        <v>-75119</v>
      </c>
      <c r="C34" t="s">
        <v>175</v>
      </c>
      <c r="D34" s="63" t="s">
        <v>6</v>
      </c>
      <c r="E34">
        <v>6136</v>
      </c>
      <c r="F34">
        <v>6077</v>
      </c>
      <c r="G34">
        <v>6081</v>
      </c>
      <c r="H34">
        <v>5805</v>
      </c>
      <c r="I34">
        <v>5096</v>
      </c>
      <c r="J34">
        <v>4763</v>
      </c>
      <c r="K34">
        <v>5014</v>
      </c>
      <c r="L34">
        <v>5808</v>
      </c>
      <c r="M34">
        <v>6494</v>
      </c>
      <c r="N34">
        <v>6557</v>
      </c>
      <c r="O34">
        <v>6679</v>
      </c>
      <c r="P34">
        <v>6281</v>
      </c>
      <c r="Q34">
        <v>5899</v>
      </c>
    </row>
    <row r="35" spans="1:17" x14ac:dyDescent="0.25">
      <c r="A35" s="62">
        <v>-366663</v>
      </c>
      <c r="B35" s="62">
        <v>-74808</v>
      </c>
      <c r="C35" t="s">
        <v>176</v>
      </c>
      <c r="D35" s="63" t="s">
        <v>6</v>
      </c>
      <c r="E35">
        <v>5958</v>
      </c>
      <c r="F35">
        <v>5938</v>
      </c>
      <c r="G35">
        <v>5982</v>
      </c>
      <c r="H35">
        <v>5532</v>
      </c>
      <c r="I35">
        <v>4872</v>
      </c>
      <c r="J35">
        <v>4344</v>
      </c>
      <c r="K35">
        <v>4600</v>
      </c>
      <c r="L35">
        <v>5268</v>
      </c>
      <c r="M35">
        <v>6009</v>
      </c>
      <c r="N35">
        <v>6239</v>
      </c>
      <c r="O35">
        <v>6398</v>
      </c>
      <c r="P35">
        <v>6134</v>
      </c>
      <c r="Q35">
        <v>5606</v>
      </c>
    </row>
    <row r="36" spans="1:17" x14ac:dyDescent="0.25">
      <c r="A36" s="62">
        <v>-362881</v>
      </c>
      <c r="B36" s="62">
        <v>-74919</v>
      </c>
      <c r="C36" t="s">
        <v>177</v>
      </c>
      <c r="D36" s="63" t="s">
        <v>6</v>
      </c>
      <c r="E36">
        <v>5922</v>
      </c>
      <c r="F36">
        <v>6058</v>
      </c>
      <c r="G36">
        <v>6017</v>
      </c>
      <c r="H36">
        <v>5501</v>
      </c>
      <c r="I36">
        <v>4827</v>
      </c>
      <c r="J36">
        <v>4236</v>
      </c>
      <c r="K36">
        <v>4475</v>
      </c>
      <c r="L36">
        <v>5143</v>
      </c>
      <c r="M36">
        <v>5864</v>
      </c>
      <c r="N36">
        <v>6132</v>
      </c>
      <c r="O36">
        <v>6366</v>
      </c>
      <c r="P36">
        <v>6192</v>
      </c>
      <c r="Q36">
        <v>5561</v>
      </c>
    </row>
    <row r="37" spans="1:17" x14ac:dyDescent="0.25">
      <c r="A37" s="62">
        <v>-361323</v>
      </c>
      <c r="B37" s="62">
        <v>-74826</v>
      </c>
      <c r="C37" t="s">
        <v>178</v>
      </c>
      <c r="D37" s="63" t="s">
        <v>6</v>
      </c>
      <c r="E37">
        <v>5877</v>
      </c>
      <c r="F37">
        <v>5884</v>
      </c>
      <c r="G37">
        <v>5869</v>
      </c>
      <c r="H37">
        <v>5388</v>
      </c>
      <c r="I37">
        <v>4733</v>
      </c>
      <c r="J37">
        <v>4183</v>
      </c>
      <c r="K37">
        <v>4374</v>
      </c>
      <c r="L37">
        <v>5019</v>
      </c>
      <c r="M37">
        <v>5702</v>
      </c>
      <c r="N37">
        <v>5957</v>
      </c>
      <c r="O37">
        <v>6231</v>
      </c>
      <c r="P37">
        <v>6062</v>
      </c>
      <c r="Q37">
        <v>5440</v>
      </c>
    </row>
    <row r="38" spans="1:17" x14ac:dyDescent="0.25">
      <c r="A38" s="62">
        <v>-359958</v>
      </c>
      <c r="B38" s="62">
        <v>-75178</v>
      </c>
      <c r="C38" t="s">
        <v>179</v>
      </c>
      <c r="D38" s="63" t="s">
        <v>6</v>
      </c>
      <c r="E38">
        <v>5796</v>
      </c>
      <c r="F38">
        <v>5759</v>
      </c>
      <c r="G38">
        <v>5790</v>
      </c>
      <c r="H38">
        <v>5270</v>
      </c>
      <c r="I38">
        <v>4617</v>
      </c>
      <c r="J38">
        <v>4047</v>
      </c>
      <c r="K38">
        <v>4261</v>
      </c>
      <c r="L38">
        <v>4956</v>
      </c>
      <c r="M38">
        <v>5585</v>
      </c>
      <c r="N38">
        <v>5869</v>
      </c>
      <c r="O38">
        <v>6158</v>
      </c>
      <c r="P38">
        <v>5905</v>
      </c>
      <c r="Q38">
        <v>5334</v>
      </c>
    </row>
    <row r="39" spans="1:17" x14ac:dyDescent="0.25">
      <c r="A39" s="62">
        <v>-357068</v>
      </c>
      <c r="B39" s="62">
        <v>-75452</v>
      </c>
      <c r="C39" t="s">
        <v>180</v>
      </c>
      <c r="D39" s="63" t="s">
        <v>6</v>
      </c>
      <c r="E39">
        <v>5718</v>
      </c>
      <c r="F39">
        <v>5740</v>
      </c>
      <c r="G39">
        <v>5791</v>
      </c>
      <c r="H39">
        <v>5254</v>
      </c>
      <c r="I39">
        <v>4549</v>
      </c>
      <c r="J39">
        <v>4045</v>
      </c>
      <c r="K39">
        <v>4245</v>
      </c>
      <c r="L39">
        <v>4957</v>
      </c>
      <c r="M39">
        <v>5545</v>
      </c>
      <c r="N39">
        <v>5827</v>
      </c>
      <c r="O39">
        <v>6059</v>
      </c>
      <c r="P39">
        <v>5911</v>
      </c>
      <c r="Q39">
        <v>5303</v>
      </c>
    </row>
    <row r="40" spans="1:17" x14ac:dyDescent="0.25">
      <c r="A40" s="62">
        <v>-349058</v>
      </c>
      <c r="B40" s="62">
        <v>-75139</v>
      </c>
      <c r="C40" t="s">
        <v>181</v>
      </c>
      <c r="D40" s="63" t="s">
        <v>6</v>
      </c>
      <c r="E40">
        <v>5746</v>
      </c>
      <c r="F40">
        <v>6018</v>
      </c>
      <c r="G40">
        <v>6004</v>
      </c>
      <c r="H40">
        <v>5306</v>
      </c>
      <c r="I40">
        <v>4648</v>
      </c>
      <c r="J40">
        <v>4264</v>
      </c>
      <c r="K40">
        <v>4333</v>
      </c>
      <c r="L40">
        <v>5109</v>
      </c>
      <c r="M40">
        <v>5549</v>
      </c>
      <c r="N40">
        <v>5871</v>
      </c>
      <c r="O40">
        <v>6031</v>
      </c>
      <c r="P40">
        <v>6045</v>
      </c>
      <c r="Q40">
        <v>5410</v>
      </c>
    </row>
    <row r="41" spans="1:17" x14ac:dyDescent="0.25">
      <c r="A41" s="62">
        <v>-348154</v>
      </c>
      <c r="B41" s="62">
        <v>-74668</v>
      </c>
      <c r="C41" t="s">
        <v>182</v>
      </c>
      <c r="D41" s="63" t="s">
        <v>6</v>
      </c>
      <c r="E41">
        <v>5810</v>
      </c>
      <c r="F41">
        <v>6081</v>
      </c>
      <c r="G41">
        <v>6054</v>
      </c>
      <c r="H41">
        <v>5352</v>
      </c>
      <c r="I41">
        <v>4782</v>
      </c>
      <c r="J41">
        <v>4366</v>
      </c>
      <c r="K41">
        <v>4423</v>
      </c>
      <c r="L41">
        <v>5242</v>
      </c>
      <c r="M41">
        <v>5668</v>
      </c>
      <c r="N41">
        <v>6037</v>
      </c>
      <c r="O41">
        <v>6073</v>
      </c>
      <c r="P41">
        <v>6164</v>
      </c>
      <c r="Q41">
        <v>5504</v>
      </c>
    </row>
    <row r="42" spans="1:17" x14ac:dyDescent="0.25">
      <c r="A42" s="62">
        <v>-382181</v>
      </c>
      <c r="B42" s="62">
        <v>-74206</v>
      </c>
      <c r="C42" t="s">
        <v>183</v>
      </c>
      <c r="D42" s="63" t="s">
        <v>6</v>
      </c>
      <c r="E42">
        <v>6207</v>
      </c>
      <c r="F42">
        <v>6182</v>
      </c>
      <c r="G42">
        <v>6215</v>
      </c>
      <c r="H42">
        <v>5885</v>
      </c>
      <c r="I42">
        <v>5207</v>
      </c>
      <c r="J42">
        <v>4792</v>
      </c>
      <c r="K42">
        <v>5057</v>
      </c>
      <c r="L42">
        <v>5862</v>
      </c>
      <c r="M42">
        <v>6541</v>
      </c>
      <c r="N42">
        <v>6600</v>
      </c>
      <c r="O42">
        <v>6802</v>
      </c>
      <c r="P42">
        <v>6492</v>
      </c>
      <c r="Q42">
        <v>5987</v>
      </c>
    </row>
    <row r="43" spans="1:17" x14ac:dyDescent="0.25">
      <c r="A43" s="62">
        <v>-382659</v>
      </c>
      <c r="B43" s="62">
        <v>-74279</v>
      </c>
      <c r="C43" t="s">
        <v>184</v>
      </c>
      <c r="D43" s="63" t="s">
        <v>6</v>
      </c>
      <c r="E43">
        <v>6207</v>
      </c>
      <c r="F43">
        <v>6182</v>
      </c>
      <c r="G43">
        <v>6215</v>
      </c>
      <c r="H43">
        <v>5885</v>
      </c>
      <c r="I43">
        <v>5207</v>
      </c>
      <c r="J43">
        <v>4792</v>
      </c>
      <c r="K43">
        <v>5057</v>
      </c>
      <c r="L43">
        <v>5862</v>
      </c>
      <c r="M43">
        <v>6541</v>
      </c>
      <c r="N43">
        <v>6600</v>
      </c>
      <c r="O43">
        <v>6802</v>
      </c>
      <c r="P43">
        <v>6492</v>
      </c>
      <c r="Q43">
        <v>5987</v>
      </c>
    </row>
    <row r="44" spans="1:17" x14ac:dyDescent="0.25">
      <c r="A44" s="62">
        <v>-380711</v>
      </c>
      <c r="B44" s="62">
        <v>-74288</v>
      </c>
      <c r="C44" t="s">
        <v>185</v>
      </c>
      <c r="D44" s="63" t="s">
        <v>6</v>
      </c>
      <c r="E44">
        <v>6249</v>
      </c>
      <c r="F44">
        <v>6219</v>
      </c>
      <c r="G44">
        <v>6277</v>
      </c>
      <c r="H44">
        <v>5918</v>
      </c>
      <c r="I44">
        <v>5213</v>
      </c>
      <c r="J44">
        <v>4808</v>
      </c>
      <c r="K44">
        <v>5028</v>
      </c>
      <c r="L44">
        <v>5890</v>
      </c>
      <c r="M44">
        <v>6488</v>
      </c>
      <c r="N44">
        <v>6581</v>
      </c>
      <c r="O44">
        <v>6775</v>
      </c>
      <c r="P44">
        <v>6448</v>
      </c>
      <c r="Q44">
        <v>5991</v>
      </c>
    </row>
    <row r="45" spans="1:17" x14ac:dyDescent="0.25">
      <c r="A45" s="62">
        <v>-379895</v>
      </c>
      <c r="B45" s="62">
        <v>-73856</v>
      </c>
      <c r="C45" t="s">
        <v>186</v>
      </c>
      <c r="D45" s="63" t="s">
        <v>6</v>
      </c>
      <c r="E45">
        <v>6119</v>
      </c>
      <c r="F45">
        <v>6173</v>
      </c>
      <c r="G45">
        <v>6164</v>
      </c>
      <c r="H45">
        <v>5853</v>
      </c>
      <c r="I45">
        <v>5170</v>
      </c>
      <c r="J45">
        <v>4767</v>
      </c>
      <c r="K45">
        <v>5063</v>
      </c>
      <c r="L45">
        <v>5858</v>
      </c>
      <c r="M45">
        <v>6483</v>
      </c>
      <c r="N45">
        <v>6557</v>
      </c>
      <c r="O45">
        <v>6736</v>
      </c>
      <c r="P45">
        <v>6392</v>
      </c>
      <c r="Q45">
        <v>5944</v>
      </c>
    </row>
    <row r="46" spans="1:17" x14ac:dyDescent="0.25">
      <c r="A46" s="62">
        <v>-375082</v>
      </c>
      <c r="B46" s="62">
        <v>-73893</v>
      </c>
      <c r="C46" t="s">
        <v>187</v>
      </c>
      <c r="D46" s="63" t="s">
        <v>6</v>
      </c>
      <c r="E46">
        <v>6097</v>
      </c>
      <c r="F46">
        <v>5992</v>
      </c>
      <c r="G46">
        <v>6033</v>
      </c>
      <c r="H46">
        <v>5764</v>
      </c>
      <c r="I46">
        <v>5097</v>
      </c>
      <c r="J46">
        <v>4727</v>
      </c>
      <c r="K46">
        <v>5054</v>
      </c>
      <c r="L46">
        <v>5814</v>
      </c>
      <c r="M46">
        <v>6509</v>
      </c>
      <c r="N46">
        <v>6570</v>
      </c>
      <c r="O46">
        <v>6670</v>
      </c>
      <c r="P46">
        <v>6296</v>
      </c>
      <c r="Q46">
        <v>5885</v>
      </c>
    </row>
    <row r="47" spans="1:17" x14ac:dyDescent="0.25">
      <c r="A47" s="62">
        <v>-369463</v>
      </c>
      <c r="B47" s="62">
        <v>-73758</v>
      </c>
      <c r="C47" t="s">
        <v>188</v>
      </c>
      <c r="D47" s="63" t="s">
        <v>6</v>
      </c>
      <c r="E47">
        <v>6048</v>
      </c>
      <c r="F47">
        <v>6019</v>
      </c>
      <c r="G47">
        <v>6041</v>
      </c>
      <c r="H47">
        <v>5625</v>
      </c>
      <c r="I47">
        <v>4912</v>
      </c>
      <c r="J47">
        <v>4478</v>
      </c>
      <c r="K47">
        <v>4699</v>
      </c>
      <c r="L47">
        <v>5418</v>
      </c>
      <c r="M47">
        <v>6181</v>
      </c>
      <c r="N47">
        <v>6393</v>
      </c>
      <c r="O47">
        <v>6507</v>
      </c>
      <c r="P47">
        <v>6212</v>
      </c>
      <c r="Q47">
        <v>5711</v>
      </c>
    </row>
    <row r="48" spans="1:17" x14ac:dyDescent="0.25">
      <c r="A48" s="62">
        <v>-368078</v>
      </c>
      <c r="B48" s="62">
        <v>-73914</v>
      </c>
      <c r="C48" t="s">
        <v>189</v>
      </c>
      <c r="D48" s="63" t="s">
        <v>6</v>
      </c>
      <c r="E48">
        <v>6019</v>
      </c>
      <c r="F48">
        <v>6044</v>
      </c>
      <c r="G48">
        <v>6010</v>
      </c>
      <c r="H48">
        <v>5598</v>
      </c>
      <c r="I48">
        <v>4895</v>
      </c>
      <c r="J48">
        <v>4460</v>
      </c>
      <c r="K48">
        <v>4673</v>
      </c>
      <c r="L48">
        <v>5388</v>
      </c>
      <c r="M48">
        <v>6109</v>
      </c>
      <c r="N48">
        <v>6331</v>
      </c>
      <c r="O48">
        <v>6461</v>
      </c>
      <c r="P48">
        <v>6175</v>
      </c>
      <c r="Q48">
        <v>5680</v>
      </c>
    </row>
    <row r="49" spans="1:17" x14ac:dyDescent="0.25">
      <c r="A49" s="62">
        <v>-365321</v>
      </c>
      <c r="B49" s="62">
        <v>-73861</v>
      </c>
      <c r="C49" t="s">
        <v>190</v>
      </c>
      <c r="D49" s="63" t="s">
        <v>6</v>
      </c>
      <c r="E49">
        <v>5973</v>
      </c>
      <c r="F49">
        <v>5926</v>
      </c>
      <c r="G49">
        <v>6017</v>
      </c>
      <c r="H49">
        <v>5489</v>
      </c>
      <c r="I49">
        <v>4868</v>
      </c>
      <c r="J49">
        <v>4325</v>
      </c>
      <c r="K49">
        <v>4575</v>
      </c>
      <c r="L49">
        <v>5250</v>
      </c>
      <c r="M49">
        <v>5985</v>
      </c>
      <c r="N49">
        <v>6233</v>
      </c>
      <c r="O49">
        <v>6424</v>
      </c>
      <c r="P49">
        <v>6183</v>
      </c>
      <c r="Q49">
        <v>5604</v>
      </c>
    </row>
    <row r="50" spans="1:17" x14ac:dyDescent="0.25">
      <c r="A50" s="62">
        <v>-360209</v>
      </c>
      <c r="B50" t="s">
        <v>191</v>
      </c>
      <c r="C50" t="s">
        <v>192</v>
      </c>
      <c r="D50" s="63" t="s">
        <v>6</v>
      </c>
      <c r="E50">
        <v>5859</v>
      </c>
      <c r="F50">
        <v>5812</v>
      </c>
      <c r="G50">
        <v>5850</v>
      </c>
      <c r="H50">
        <v>5339</v>
      </c>
      <c r="I50">
        <v>4690</v>
      </c>
      <c r="J50">
        <v>4165</v>
      </c>
      <c r="K50">
        <v>4374</v>
      </c>
      <c r="L50">
        <v>5036</v>
      </c>
      <c r="M50">
        <v>5681</v>
      </c>
      <c r="N50">
        <v>5973</v>
      </c>
      <c r="O50">
        <v>6217</v>
      </c>
      <c r="P50">
        <v>6003</v>
      </c>
      <c r="Q50">
        <v>5417</v>
      </c>
    </row>
    <row r="51" spans="1:17" x14ac:dyDescent="0.25">
      <c r="A51" s="62">
        <v>-359036</v>
      </c>
      <c r="B51" s="62">
        <v>-7367</v>
      </c>
      <c r="C51" t="s">
        <v>193</v>
      </c>
      <c r="D51" s="63" t="s">
        <v>6</v>
      </c>
      <c r="E51">
        <v>5827</v>
      </c>
      <c r="F51">
        <v>5815</v>
      </c>
      <c r="G51">
        <v>5846</v>
      </c>
      <c r="H51">
        <v>5332</v>
      </c>
      <c r="I51">
        <v>4665</v>
      </c>
      <c r="J51">
        <v>4095</v>
      </c>
      <c r="K51">
        <v>4308</v>
      </c>
      <c r="L51">
        <v>4994</v>
      </c>
      <c r="M51">
        <v>5603</v>
      </c>
      <c r="N51">
        <v>5917</v>
      </c>
      <c r="O51">
        <v>6203</v>
      </c>
      <c r="P51">
        <v>5978</v>
      </c>
      <c r="Q51">
        <v>5382</v>
      </c>
    </row>
    <row r="52" spans="1:17" x14ac:dyDescent="0.25">
      <c r="A52" s="62">
        <v>-357852</v>
      </c>
      <c r="B52" s="62">
        <v>-73582</v>
      </c>
      <c r="C52" t="s">
        <v>194</v>
      </c>
      <c r="D52" s="63" t="s">
        <v>6</v>
      </c>
      <c r="E52">
        <v>5703</v>
      </c>
      <c r="F52">
        <v>5746</v>
      </c>
      <c r="G52">
        <v>5807</v>
      </c>
      <c r="H52">
        <v>5249</v>
      </c>
      <c r="I52">
        <v>4549</v>
      </c>
      <c r="J52">
        <v>4068</v>
      </c>
      <c r="K52">
        <v>4184</v>
      </c>
      <c r="L52">
        <v>4888</v>
      </c>
      <c r="M52">
        <v>5422</v>
      </c>
      <c r="N52">
        <v>5731</v>
      </c>
      <c r="O52">
        <v>5994</v>
      </c>
      <c r="P52">
        <v>5901</v>
      </c>
      <c r="Q52">
        <v>5270</v>
      </c>
    </row>
    <row r="53" spans="1:17" x14ac:dyDescent="0.25">
      <c r="A53" s="62">
        <v>-356277</v>
      </c>
      <c r="B53" s="62">
        <v>-73784</v>
      </c>
      <c r="C53" t="s">
        <v>195</v>
      </c>
      <c r="D53" s="63" t="s">
        <v>6</v>
      </c>
      <c r="E53">
        <v>5614</v>
      </c>
      <c r="F53">
        <v>5750</v>
      </c>
      <c r="G53">
        <v>5810</v>
      </c>
      <c r="H53">
        <v>5248</v>
      </c>
      <c r="I53">
        <v>4576</v>
      </c>
      <c r="J53">
        <v>4099</v>
      </c>
      <c r="K53">
        <v>4219</v>
      </c>
      <c r="L53">
        <v>4908</v>
      </c>
      <c r="M53">
        <v>5437</v>
      </c>
      <c r="N53">
        <v>5732</v>
      </c>
      <c r="O53">
        <v>6061</v>
      </c>
      <c r="P53">
        <v>5866</v>
      </c>
      <c r="Q53">
        <v>5277</v>
      </c>
    </row>
    <row r="54" spans="1:17" x14ac:dyDescent="0.25">
      <c r="A54" s="62">
        <v>-354363</v>
      </c>
      <c r="B54" s="62">
        <v>-73576</v>
      </c>
      <c r="C54" t="s">
        <v>196</v>
      </c>
      <c r="D54" s="63" t="s">
        <v>6</v>
      </c>
      <c r="E54">
        <v>5695</v>
      </c>
      <c r="F54">
        <v>5874</v>
      </c>
      <c r="G54">
        <v>5896</v>
      </c>
      <c r="H54">
        <v>5282</v>
      </c>
      <c r="I54">
        <v>4598</v>
      </c>
      <c r="J54">
        <v>4164</v>
      </c>
      <c r="K54">
        <v>4278</v>
      </c>
      <c r="L54">
        <v>5101</v>
      </c>
      <c r="M54">
        <v>5588</v>
      </c>
      <c r="N54">
        <v>5811</v>
      </c>
      <c r="O54">
        <v>6117</v>
      </c>
      <c r="P54">
        <v>5941</v>
      </c>
      <c r="Q54">
        <v>5362</v>
      </c>
    </row>
    <row r="55" spans="1:17" x14ac:dyDescent="0.25">
      <c r="A55" s="62">
        <v>-352387</v>
      </c>
      <c r="B55" s="62">
        <v>-73587</v>
      </c>
      <c r="C55" t="s">
        <v>197</v>
      </c>
      <c r="D55" s="63" t="s">
        <v>6</v>
      </c>
      <c r="E55">
        <v>5697</v>
      </c>
      <c r="F55">
        <v>5882</v>
      </c>
      <c r="G55">
        <v>5872</v>
      </c>
      <c r="H55">
        <v>5327</v>
      </c>
      <c r="I55">
        <v>4635</v>
      </c>
      <c r="J55">
        <v>4244</v>
      </c>
      <c r="K55">
        <v>4374</v>
      </c>
      <c r="L55">
        <v>5091</v>
      </c>
      <c r="M55">
        <v>5602</v>
      </c>
      <c r="N55">
        <v>5818</v>
      </c>
      <c r="O55">
        <v>6102</v>
      </c>
      <c r="P55">
        <v>5973</v>
      </c>
      <c r="Q55">
        <v>5385</v>
      </c>
    </row>
    <row r="56" spans="1:17" x14ac:dyDescent="0.25">
      <c r="A56" s="62">
        <v>-351125</v>
      </c>
      <c r="B56" s="62">
        <v>-74025</v>
      </c>
      <c r="C56" t="s">
        <v>198</v>
      </c>
      <c r="D56" s="63" t="s">
        <v>6</v>
      </c>
      <c r="E56">
        <v>5740</v>
      </c>
      <c r="F56">
        <v>5940</v>
      </c>
      <c r="G56">
        <v>5925</v>
      </c>
      <c r="H56">
        <v>5335</v>
      </c>
      <c r="I56">
        <v>4628</v>
      </c>
      <c r="J56">
        <v>4243</v>
      </c>
      <c r="K56">
        <v>4356</v>
      </c>
      <c r="L56">
        <v>5058</v>
      </c>
      <c r="M56">
        <v>5592</v>
      </c>
      <c r="N56">
        <v>5849</v>
      </c>
      <c r="O56">
        <v>6132</v>
      </c>
      <c r="P56">
        <v>6035</v>
      </c>
      <c r="Q56">
        <v>5403</v>
      </c>
    </row>
    <row r="57" spans="1:17" x14ac:dyDescent="0.25">
      <c r="A57" s="62">
        <v>-34906</v>
      </c>
      <c r="B57" s="62">
        <v>-74302</v>
      </c>
      <c r="C57" t="s">
        <v>199</v>
      </c>
      <c r="D57" s="63" t="s">
        <v>6</v>
      </c>
      <c r="E57">
        <v>5748</v>
      </c>
      <c r="F57">
        <v>5984</v>
      </c>
      <c r="G57">
        <v>6002</v>
      </c>
      <c r="H57">
        <v>5293</v>
      </c>
      <c r="I57">
        <v>4701</v>
      </c>
      <c r="J57">
        <v>4291</v>
      </c>
      <c r="K57">
        <v>4339</v>
      </c>
      <c r="L57">
        <v>5142</v>
      </c>
      <c r="M57">
        <v>5553</v>
      </c>
      <c r="N57">
        <v>5877</v>
      </c>
      <c r="O57">
        <v>6015</v>
      </c>
      <c r="P57">
        <v>6049</v>
      </c>
      <c r="Q57">
        <v>5416</v>
      </c>
    </row>
    <row r="58" spans="1:17" x14ac:dyDescent="0.25">
      <c r="A58" s="62">
        <v>-385136</v>
      </c>
      <c r="B58" s="62">
        <v>-73138</v>
      </c>
      <c r="C58" t="s">
        <v>200</v>
      </c>
      <c r="D58" s="63" t="s">
        <v>6</v>
      </c>
      <c r="E58">
        <v>5990</v>
      </c>
      <c r="F58">
        <v>6032</v>
      </c>
      <c r="G58">
        <v>5998</v>
      </c>
      <c r="H58">
        <v>5637</v>
      </c>
      <c r="I58">
        <v>5088</v>
      </c>
      <c r="J58">
        <v>4895</v>
      </c>
      <c r="K58">
        <v>5182</v>
      </c>
      <c r="L58">
        <v>5941</v>
      </c>
      <c r="M58">
        <v>6625</v>
      </c>
      <c r="N58">
        <v>6670</v>
      </c>
      <c r="O58">
        <v>6799</v>
      </c>
      <c r="P58">
        <v>6402</v>
      </c>
      <c r="Q58">
        <v>5938</v>
      </c>
    </row>
    <row r="59" spans="1:17" x14ac:dyDescent="0.25">
      <c r="A59" s="62">
        <v>-383002</v>
      </c>
      <c r="B59" s="62">
        <v>-72519</v>
      </c>
      <c r="C59" t="s">
        <v>201</v>
      </c>
      <c r="D59" s="63" t="s">
        <v>6</v>
      </c>
      <c r="E59">
        <v>6144</v>
      </c>
      <c r="F59">
        <v>6071</v>
      </c>
      <c r="G59">
        <v>6095</v>
      </c>
      <c r="H59">
        <v>5811</v>
      </c>
      <c r="I59">
        <v>5246</v>
      </c>
      <c r="J59">
        <v>4932</v>
      </c>
      <c r="K59">
        <v>5167</v>
      </c>
      <c r="L59">
        <v>5976</v>
      </c>
      <c r="M59">
        <v>6592</v>
      </c>
      <c r="N59">
        <v>6643</v>
      </c>
      <c r="O59">
        <v>6838</v>
      </c>
      <c r="P59">
        <v>6461</v>
      </c>
      <c r="Q59">
        <v>5998</v>
      </c>
    </row>
    <row r="60" spans="1:17" x14ac:dyDescent="0.25">
      <c r="A60" s="62">
        <v>-381508</v>
      </c>
      <c r="B60" s="62">
        <v>-73024</v>
      </c>
      <c r="C60" t="s">
        <v>202</v>
      </c>
      <c r="D60" s="63" t="s">
        <v>6</v>
      </c>
      <c r="E60">
        <v>6219</v>
      </c>
      <c r="F60">
        <v>6179</v>
      </c>
      <c r="G60">
        <v>6255</v>
      </c>
      <c r="H60">
        <v>5873</v>
      </c>
      <c r="I60">
        <v>5205</v>
      </c>
      <c r="J60">
        <v>4838</v>
      </c>
      <c r="K60">
        <v>5081</v>
      </c>
      <c r="L60">
        <v>5913</v>
      </c>
      <c r="M60">
        <v>6544</v>
      </c>
      <c r="N60">
        <v>6609</v>
      </c>
      <c r="O60">
        <v>6786</v>
      </c>
      <c r="P60">
        <v>6460</v>
      </c>
      <c r="Q60">
        <v>5997</v>
      </c>
    </row>
    <row r="61" spans="1:17" x14ac:dyDescent="0.25">
      <c r="A61" s="62">
        <v>-374277</v>
      </c>
      <c r="B61" s="62">
        <v>-72579</v>
      </c>
      <c r="C61" t="s">
        <v>203</v>
      </c>
      <c r="D61" s="63" t="s">
        <v>6</v>
      </c>
      <c r="E61">
        <v>6035</v>
      </c>
      <c r="F61">
        <v>6044</v>
      </c>
      <c r="G61">
        <v>6053</v>
      </c>
      <c r="H61">
        <v>5792</v>
      </c>
      <c r="I61">
        <v>5106</v>
      </c>
      <c r="J61">
        <v>4707</v>
      </c>
      <c r="K61">
        <v>5071</v>
      </c>
      <c r="L61">
        <v>5853</v>
      </c>
      <c r="M61">
        <v>6473</v>
      </c>
      <c r="N61">
        <v>6586</v>
      </c>
      <c r="O61">
        <v>6681</v>
      </c>
      <c r="P61">
        <v>6362</v>
      </c>
      <c r="Q61">
        <v>5897</v>
      </c>
    </row>
    <row r="62" spans="1:17" x14ac:dyDescent="0.25">
      <c r="A62" s="62">
        <v>-373513</v>
      </c>
      <c r="B62" s="62">
        <v>-72623</v>
      </c>
      <c r="C62" t="s">
        <v>204</v>
      </c>
      <c r="D62" s="63" t="s">
        <v>6</v>
      </c>
      <c r="E62">
        <v>6074</v>
      </c>
      <c r="F62">
        <v>6011</v>
      </c>
      <c r="G62">
        <v>6040</v>
      </c>
      <c r="H62">
        <v>5710</v>
      </c>
      <c r="I62">
        <v>5057</v>
      </c>
      <c r="J62">
        <v>4693</v>
      </c>
      <c r="K62">
        <v>5057</v>
      </c>
      <c r="L62">
        <v>5800</v>
      </c>
      <c r="M62">
        <v>6459</v>
      </c>
      <c r="N62">
        <v>6556</v>
      </c>
      <c r="O62">
        <v>6696</v>
      </c>
      <c r="P62">
        <v>6243</v>
      </c>
      <c r="Q62">
        <v>5866</v>
      </c>
    </row>
    <row r="63" spans="1:17" x14ac:dyDescent="0.25">
      <c r="A63" s="62">
        <v>-370928</v>
      </c>
      <c r="B63" s="62">
        <v>-72874</v>
      </c>
      <c r="C63" t="s">
        <v>205</v>
      </c>
      <c r="D63" s="63" t="s">
        <v>6</v>
      </c>
      <c r="E63">
        <v>6068</v>
      </c>
      <c r="F63">
        <v>5995</v>
      </c>
      <c r="G63">
        <v>6089</v>
      </c>
      <c r="H63">
        <v>5686</v>
      </c>
      <c r="I63">
        <v>4972</v>
      </c>
      <c r="J63">
        <v>4505</v>
      </c>
      <c r="K63">
        <v>4769</v>
      </c>
      <c r="L63">
        <v>5479</v>
      </c>
      <c r="M63">
        <v>6267</v>
      </c>
      <c r="N63">
        <v>6442</v>
      </c>
      <c r="O63">
        <v>6535</v>
      </c>
      <c r="P63">
        <v>6226</v>
      </c>
      <c r="Q63">
        <v>5753</v>
      </c>
    </row>
    <row r="64" spans="1:17" x14ac:dyDescent="0.25">
      <c r="A64" s="62">
        <v>-366562</v>
      </c>
      <c r="B64" s="62">
        <v>-73182</v>
      </c>
      <c r="C64" t="s">
        <v>206</v>
      </c>
      <c r="D64" s="63" t="s">
        <v>6</v>
      </c>
      <c r="E64">
        <v>5921</v>
      </c>
      <c r="F64">
        <v>5939</v>
      </c>
      <c r="G64">
        <v>6023</v>
      </c>
      <c r="H64">
        <v>5553</v>
      </c>
      <c r="I64">
        <v>4916</v>
      </c>
      <c r="J64">
        <v>4389</v>
      </c>
      <c r="K64">
        <v>4604</v>
      </c>
      <c r="L64">
        <v>5353</v>
      </c>
      <c r="M64">
        <v>6039</v>
      </c>
      <c r="N64">
        <v>6237</v>
      </c>
      <c r="O64">
        <v>6416</v>
      </c>
      <c r="P64">
        <v>6130</v>
      </c>
      <c r="Q64">
        <v>5627</v>
      </c>
    </row>
    <row r="65" spans="1:17" x14ac:dyDescent="0.25">
      <c r="A65" s="62">
        <v>-362369</v>
      </c>
      <c r="B65" s="62">
        <v>-72598</v>
      </c>
      <c r="C65" t="s">
        <v>207</v>
      </c>
      <c r="D65" s="63" t="s">
        <v>6</v>
      </c>
      <c r="E65">
        <v>5812</v>
      </c>
      <c r="F65">
        <v>5780</v>
      </c>
      <c r="G65">
        <v>5878</v>
      </c>
      <c r="H65">
        <v>5356</v>
      </c>
      <c r="I65">
        <v>4708</v>
      </c>
      <c r="J65">
        <v>4191</v>
      </c>
      <c r="K65">
        <v>4428</v>
      </c>
      <c r="L65">
        <v>5083</v>
      </c>
      <c r="M65">
        <v>5750</v>
      </c>
      <c r="N65">
        <v>6053</v>
      </c>
      <c r="O65">
        <v>6264</v>
      </c>
      <c r="P65">
        <v>6003</v>
      </c>
      <c r="Q65">
        <v>5442</v>
      </c>
    </row>
    <row r="66" spans="1:17" x14ac:dyDescent="0.25">
      <c r="A66" s="62">
        <v>-356652</v>
      </c>
      <c r="B66" s="62">
        <v>-72508</v>
      </c>
      <c r="C66" t="s">
        <v>208</v>
      </c>
      <c r="D66" s="63" t="s">
        <v>6</v>
      </c>
      <c r="E66">
        <v>5599</v>
      </c>
      <c r="F66">
        <v>5680</v>
      </c>
      <c r="G66">
        <v>5757</v>
      </c>
      <c r="H66">
        <v>5244</v>
      </c>
      <c r="I66">
        <v>4643</v>
      </c>
      <c r="J66">
        <v>4136</v>
      </c>
      <c r="K66">
        <v>4228</v>
      </c>
      <c r="L66">
        <v>4888</v>
      </c>
      <c r="M66">
        <v>5437</v>
      </c>
      <c r="N66">
        <v>5720</v>
      </c>
      <c r="O66">
        <v>6053</v>
      </c>
      <c r="P66">
        <v>5824</v>
      </c>
      <c r="Q66">
        <v>5267</v>
      </c>
    </row>
    <row r="67" spans="1:17" x14ac:dyDescent="0.25">
      <c r="A67" s="62">
        <v>-356108</v>
      </c>
      <c r="B67" s="62">
        <v>-72912</v>
      </c>
      <c r="C67" t="s">
        <v>209</v>
      </c>
      <c r="D67" s="63" t="s">
        <v>6</v>
      </c>
      <c r="E67">
        <v>5599</v>
      </c>
      <c r="F67">
        <v>5680</v>
      </c>
      <c r="G67">
        <v>5757</v>
      </c>
      <c r="H67">
        <v>5244</v>
      </c>
      <c r="I67">
        <v>4643</v>
      </c>
      <c r="J67">
        <v>4136</v>
      </c>
      <c r="K67">
        <v>4228</v>
      </c>
      <c r="L67">
        <v>4888</v>
      </c>
      <c r="M67">
        <v>5437</v>
      </c>
      <c r="N67">
        <v>5720</v>
      </c>
      <c r="O67">
        <v>6053</v>
      </c>
      <c r="P67">
        <v>5824</v>
      </c>
      <c r="Q67">
        <v>5267</v>
      </c>
    </row>
    <row r="68" spans="1:17" x14ac:dyDescent="0.25">
      <c r="A68" s="62">
        <v>-354802</v>
      </c>
      <c r="B68" s="62">
        <v>-72955</v>
      </c>
      <c r="C68" t="s">
        <v>210</v>
      </c>
      <c r="D68" s="63" t="s">
        <v>6</v>
      </c>
      <c r="E68">
        <v>5548</v>
      </c>
      <c r="F68">
        <v>5786</v>
      </c>
      <c r="G68">
        <v>5806</v>
      </c>
      <c r="H68">
        <v>5279</v>
      </c>
      <c r="I68">
        <v>4584</v>
      </c>
      <c r="J68">
        <v>4151</v>
      </c>
      <c r="K68">
        <v>4251</v>
      </c>
      <c r="L68">
        <v>4997</v>
      </c>
      <c r="M68">
        <v>5426</v>
      </c>
      <c r="N68">
        <v>5633</v>
      </c>
      <c r="O68">
        <v>5976</v>
      </c>
      <c r="P68">
        <v>5837</v>
      </c>
      <c r="Q68">
        <v>5273</v>
      </c>
    </row>
    <row r="69" spans="1:17" x14ac:dyDescent="0.25">
      <c r="A69" s="62">
        <v>-353371</v>
      </c>
      <c r="B69" s="62">
        <v>-73361</v>
      </c>
      <c r="C69" t="s">
        <v>211</v>
      </c>
      <c r="D69" s="63" t="s">
        <v>6</v>
      </c>
      <c r="E69">
        <v>5655</v>
      </c>
      <c r="F69">
        <v>5874</v>
      </c>
      <c r="G69">
        <v>5848</v>
      </c>
      <c r="H69">
        <v>5351</v>
      </c>
      <c r="I69">
        <v>4677</v>
      </c>
      <c r="J69">
        <v>4223</v>
      </c>
      <c r="K69">
        <v>4357</v>
      </c>
      <c r="L69">
        <v>5112</v>
      </c>
      <c r="M69">
        <v>5519</v>
      </c>
      <c r="N69">
        <v>5761</v>
      </c>
      <c r="O69">
        <v>5991</v>
      </c>
      <c r="P69">
        <v>5935</v>
      </c>
      <c r="Q69">
        <v>5359</v>
      </c>
    </row>
    <row r="70" spans="1:17" x14ac:dyDescent="0.25">
      <c r="A70" s="62">
        <v>-35257</v>
      </c>
      <c r="B70" s="62">
        <v>-72665</v>
      </c>
      <c r="C70" t="s">
        <v>212</v>
      </c>
      <c r="D70" s="63" t="s">
        <v>6</v>
      </c>
      <c r="E70">
        <v>5701</v>
      </c>
      <c r="F70">
        <v>5877</v>
      </c>
      <c r="G70">
        <v>5847</v>
      </c>
      <c r="H70">
        <v>5343</v>
      </c>
      <c r="I70">
        <v>4665</v>
      </c>
      <c r="J70">
        <v>4267</v>
      </c>
      <c r="K70">
        <v>4393</v>
      </c>
      <c r="L70">
        <v>5151</v>
      </c>
      <c r="M70">
        <v>5586</v>
      </c>
      <c r="N70">
        <v>5802</v>
      </c>
      <c r="O70">
        <v>6063</v>
      </c>
      <c r="P70">
        <v>5951</v>
      </c>
      <c r="Q70">
        <v>5387</v>
      </c>
    </row>
    <row r="71" spans="1:17" x14ac:dyDescent="0.25">
      <c r="A71" s="62">
        <v>-349002</v>
      </c>
      <c r="B71" s="62">
        <v>-72579</v>
      </c>
      <c r="C71" t="s">
        <v>213</v>
      </c>
      <c r="D71" s="63" t="s">
        <v>6</v>
      </c>
      <c r="E71">
        <v>5812</v>
      </c>
      <c r="F71">
        <v>5992</v>
      </c>
      <c r="G71">
        <v>6019</v>
      </c>
      <c r="H71">
        <v>5313</v>
      </c>
      <c r="I71">
        <v>4734</v>
      </c>
      <c r="J71">
        <v>4320</v>
      </c>
      <c r="K71">
        <v>4385</v>
      </c>
      <c r="L71">
        <v>5190</v>
      </c>
      <c r="M71">
        <v>5594</v>
      </c>
      <c r="N71">
        <v>5920</v>
      </c>
      <c r="O71">
        <v>6059</v>
      </c>
      <c r="P71">
        <v>6048</v>
      </c>
      <c r="Q71">
        <v>5449</v>
      </c>
    </row>
    <row r="72" spans="1:17" x14ac:dyDescent="0.25">
      <c r="A72" s="62">
        <v>-38586</v>
      </c>
      <c r="B72" s="62">
        <v>-72156</v>
      </c>
      <c r="C72" t="s">
        <v>214</v>
      </c>
      <c r="D72" s="63" t="s">
        <v>6</v>
      </c>
      <c r="E72">
        <v>6010</v>
      </c>
      <c r="F72">
        <v>6005</v>
      </c>
      <c r="G72">
        <v>5968</v>
      </c>
      <c r="H72">
        <v>5631</v>
      </c>
      <c r="I72">
        <v>5159</v>
      </c>
      <c r="J72">
        <v>4963</v>
      </c>
      <c r="K72">
        <v>5222</v>
      </c>
      <c r="L72">
        <v>5990</v>
      </c>
      <c r="M72">
        <v>6602</v>
      </c>
      <c r="N72">
        <v>6639</v>
      </c>
      <c r="O72">
        <v>6766</v>
      </c>
      <c r="P72">
        <v>6415</v>
      </c>
      <c r="Q72">
        <v>5948</v>
      </c>
    </row>
    <row r="73" spans="1:17" x14ac:dyDescent="0.25">
      <c r="A73" s="62">
        <v>-383721</v>
      </c>
      <c r="B73" s="62">
        <v>-72147</v>
      </c>
      <c r="C73" t="s">
        <v>215</v>
      </c>
      <c r="D73" s="63" t="s">
        <v>6</v>
      </c>
      <c r="E73">
        <v>6158</v>
      </c>
      <c r="F73">
        <v>6106</v>
      </c>
      <c r="G73">
        <v>6061</v>
      </c>
      <c r="H73">
        <v>5788</v>
      </c>
      <c r="I73">
        <v>5232</v>
      </c>
      <c r="J73">
        <v>4967</v>
      </c>
      <c r="K73">
        <v>5201</v>
      </c>
      <c r="L73">
        <v>6029</v>
      </c>
      <c r="M73">
        <v>6590</v>
      </c>
      <c r="N73">
        <v>6640</v>
      </c>
      <c r="O73">
        <v>6814</v>
      </c>
      <c r="P73">
        <v>6441</v>
      </c>
      <c r="Q73">
        <v>6002</v>
      </c>
    </row>
    <row r="74" spans="1:17" x14ac:dyDescent="0.25">
      <c r="A74" s="62">
        <v>-381508</v>
      </c>
      <c r="B74" s="62">
        <v>-71813</v>
      </c>
      <c r="C74" t="s">
        <v>216</v>
      </c>
      <c r="D74" s="63" t="s">
        <v>6</v>
      </c>
      <c r="E74">
        <v>6147</v>
      </c>
      <c r="F74">
        <v>6129</v>
      </c>
      <c r="G74">
        <v>6225</v>
      </c>
      <c r="H74">
        <v>5873</v>
      </c>
      <c r="I74">
        <v>5231</v>
      </c>
      <c r="J74">
        <v>4862</v>
      </c>
      <c r="K74">
        <v>5145</v>
      </c>
      <c r="L74">
        <v>5946</v>
      </c>
      <c r="M74">
        <v>6548</v>
      </c>
      <c r="N74">
        <v>6632</v>
      </c>
      <c r="O74">
        <v>6789</v>
      </c>
      <c r="P74">
        <v>6458</v>
      </c>
      <c r="Q74">
        <v>5999</v>
      </c>
    </row>
    <row r="75" spans="1:17" x14ac:dyDescent="0.25">
      <c r="A75" s="62">
        <v>-379292</v>
      </c>
      <c r="B75" s="62">
        <v>-71932</v>
      </c>
      <c r="C75" t="s">
        <v>217</v>
      </c>
      <c r="D75" s="63" t="s">
        <v>6</v>
      </c>
      <c r="E75">
        <v>6205</v>
      </c>
      <c r="F75">
        <v>6207</v>
      </c>
      <c r="G75">
        <v>6319</v>
      </c>
      <c r="H75">
        <v>5905</v>
      </c>
      <c r="I75">
        <v>5222</v>
      </c>
      <c r="J75">
        <v>4830</v>
      </c>
      <c r="K75">
        <v>5063</v>
      </c>
      <c r="L75">
        <v>5857</v>
      </c>
      <c r="M75">
        <v>6497</v>
      </c>
      <c r="N75">
        <v>6657</v>
      </c>
      <c r="O75">
        <v>6757</v>
      </c>
      <c r="P75">
        <v>6492</v>
      </c>
      <c r="Q75">
        <v>6001</v>
      </c>
    </row>
    <row r="76" spans="1:17" x14ac:dyDescent="0.25">
      <c r="A76" s="62">
        <v>-377466</v>
      </c>
      <c r="B76" s="62">
        <v>-72286</v>
      </c>
      <c r="C76" t="s">
        <v>218</v>
      </c>
      <c r="D76" s="63" t="s">
        <v>6</v>
      </c>
      <c r="E76">
        <v>6257</v>
      </c>
      <c r="F76">
        <v>6168</v>
      </c>
      <c r="G76">
        <v>6272</v>
      </c>
      <c r="H76">
        <v>5926</v>
      </c>
      <c r="I76">
        <v>5184</v>
      </c>
      <c r="J76">
        <v>4814</v>
      </c>
      <c r="K76">
        <v>5047</v>
      </c>
      <c r="L76">
        <v>5846</v>
      </c>
      <c r="M76">
        <v>6495</v>
      </c>
      <c r="N76">
        <v>6638</v>
      </c>
      <c r="O76">
        <v>6777</v>
      </c>
      <c r="P76">
        <v>6456</v>
      </c>
      <c r="Q76">
        <v>5990</v>
      </c>
    </row>
    <row r="77" spans="1:17" x14ac:dyDescent="0.25">
      <c r="A77" s="62">
        <v>-373072</v>
      </c>
      <c r="B77" s="62">
        <v>-71604</v>
      </c>
      <c r="C77" t="s">
        <v>219</v>
      </c>
      <c r="D77" s="63" t="s">
        <v>6</v>
      </c>
      <c r="E77">
        <v>6232</v>
      </c>
      <c r="F77">
        <v>6204</v>
      </c>
      <c r="G77">
        <v>6252</v>
      </c>
      <c r="H77">
        <v>5840</v>
      </c>
      <c r="I77">
        <v>5145</v>
      </c>
      <c r="J77">
        <v>4675</v>
      </c>
      <c r="K77">
        <v>5010</v>
      </c>
      <c r="L77">
        <v>5880</v>
      </c>
      <c r="M77">
        <v>6479</v>
      </c>
      <c r="N77">
        <v>6618</v>
      </c>
      <c r="O77">
        <v>6743</v>
      </c>
      <c r="P77">
        <v>6338</v>
      </c>
      <c r="Q77">
        <v>5951</v>
      </c>
    </row>
    <row r="78" spans="1:17" x14ac:dyDescent="0.25">
      <c r="A78" s="62">
        <v>-372528</v>
      </c>
      <c r="B78" s="62">
        <v>-72215</v>
      </c>
      <c r="C78" t="s">
        <v>220</v>
      </c>
      <c r="D78" s="63" t="s">
        <v>6</v>
      </c>
      <c r="E78">
        <v>6168</v>
      </c>
      <c r="F78">
        <v>6165</v>
      </c>
      <c r="G78">
        <v>6224</v>
      </c>
      <c r="H78">
        <v>5822</v>
      </c>
      <c r="I78">
        <v>5097</v>
      </c>
      <c r="J78">
        <v>4666</v>
      </c>
      <c r="K78">
        <v>4998</v>
      </c>
      <c r="L78">
        <v>5849</v>
      </c>
      <c r="M78">
        <v>6444</v>
      </c>
      <c r="N78">
        <v>6568</v>
      </c>
      <c r="O78">
        <v>6672</v>
      </c>
      <c r="P78">
        <v>6291</v>
      </c>
      <c r="Q78">
        <v>5914</v>
      </c>
    </row>
    <row r="79" spans="1:17" x14ac:dyDescent="0.25">
      <c r="A79" s="62">
        <v>-370574</v>
      </c>
      <c r="B79" s="62">
        <v>-72116</v>
      </c>
      <c r="C79" t="s">
        <v>221</v>
      </c>
      <c r="D79" s="63" t="s">
        <v>6</v>
      </c>
      <c r="E79">
        <v>6060</v>
      </c>
      <c r="F79">
        <v>6011</v>
      </c>
      <c r="G79">
        <v>6039</v>
      </c>
      <c r="H79">
        <v>5681</v>
      </c>
      <c r="I79">
        <v>5048</v>
      </c>
      <c r="J79">
        <v>4590</v>
      </c>
      <c r="K79">
        <v>4900</v>
      </c>
      <c r="L79">
        <v>5711</v>
      </c>
      <c r="M79">
        <v>6336</v>
      </c>
      <c r="N79">
        <v>6515</v>
      </c>
      <c r="O79">
        <v>6595</v>
      </c>
      <c r="P79">
        <v>6234</v>
      </c>
      <c r="Q79">
        <v>5810</v>
      </c>
    </row>
    <row r="80" spans="1:17" x14ac:dyDescent="0.25">
      <c r="A80" s="62">
        <v>-368248</v>
      </c>
      <c r="B80" s="62">
        <v>-72067</v>
      </c>
      <c r="C80" t="s">
        <v>222</v>
      </c>
      <c r="D80" s="63" t="s">
        <v>6</v>
      </c>
      <c r="E80">
        <v>5966</v>
      </c>
      <c r="F80">
        <v>5976</v>
      </c>
      <c r="G80">
        <v>5945</v>
      </c>
      <c r="H80">
        <v>5650</v>
      </c>
      <c r="I80">
        <v>4951</v>
      </c>
      <c r="J80">
        <v>4439</v>
      </c>
      <c r="K80">
        <v>4769</v>
      </c>
      <c r="L80">
        <v>5516</v>
      </c>
      <c r="M80">
        <v>6158</v>
      </c>
      <c r="N80">
        <v>6381</v>
      </c>
      <c r="O80">
        <v>6501</v>
      </c>
      <c r="P80">
        <v>6187</v>
      </c>
      <c r="Q80">
        <v>5703</v>
      </c>
    </row>
    <row r="81" spans="1:17" x14ac:dyDescent="0.25">
      <c r="A81" s="62">
        <v>-366316</v>
      </c>
      <c r="B81" s="62">
        <v>-72202</v>
      </c>
      <c r="C81" t="s">
        <v>223</v>
      </c>
      <c r="D81" s="63" t="s">
        <v>6</v>
      </c>
      <c r="E81">
        <v>5958</v>
      </c>
      <c r="F81">
        <v>5951</v>
      </c>
      <c r="G81">
        <v>5957</v>
      </c>
      <c r="H81">
        <v>5545</v>
      </c>
      <c r="I81">
        <v>4905</v>
      </c>
      <c r="J81">
        <v>4356</v>
      </c>
      <c r="K81">
        <v>4650</v>
      </c>
      <c r="L81">
        <v>5345</v>
      </c>
      <c r="M81">
        <v>5983</v>
      </c>
      <c r="N81">
        <v>6279</v>
      </c>
      <c r="O81">
        <v>6407</v>
      </c>
      <c r="P81">
        <v>6133</v>
      </c>
      <c r="Q81">
        <v>5622</v>
      </c>
    </row>
    <row r="82" spans="1:17" x14ac:dyDescent="0.25">
      <c r="A82" s="62">
        <v>-36488</v>
      </c>
      <c r="B82" s="62">
        <v>-72464</v>
      </c>
      <c r="C82" t="s">
        <v>224</v>
      </c>
      <c r="D82" s="63" t="s">
        <v>6</v>
      </c>
      <c r="E82">
        <v>5877</v>
      </c>
      <c r="F82">
        <v>5918</v>
      </c>
      <c r="G82">
        <v>5905</v>
      </c>
      <c r="H82">
        <v>5467</v>
      </c>
      <c r="I82">
        <v>4830</v>
      </c>
      <c r="J82">
        <v>4303</v>
      </c>
      <c r="K82">
        <v>4500</v>
      </c>
      <c r="L82">
        <v>5218</v>
      </c>
      <c r="M82">
        <v>5892</v>
      </c>
      <c r="N82">
        <v>6170</v>
      </c>
      <c r="O82">
        <v>6348</v>
      </c>
      <c r="P82">
        <v>6091</v>
      </c>
      <c r="Q82">
        <v>5543</v>
      </c>
    </row>
    <row r="83" spans="1:17" x14ac:dyDescent="0.25">
      <c r="A83" s="62">
        <v>-358545</v>
      </c>
      <c r="B83" s="62">
        <v>-71558</v>
      </c>
      <c r="C83" t="s">
        <v>225</v>
      </c>
      <c r="D83" s="63" t="s">
        <v>6</v>
      </c>
      <c r="E83">
        <v>5546</v>
      </c>
      <c r="F83">
        <v>5669</v>
      </c>
      <c r="G83">
        <v>5767</v>
      </c>
      <c r="H83">
        <v>5231</v>
      </c>
      <c r="I83">
        <v>4626</v>
      </c>
      <c r="J83">
        <v>4063</v>
      </c>
      <c r="K83">
        <v>4164</v>
      </c>
      <c r="L83">
        <v>4898</v>
      </c>
      <c r="M83">
        <v>5491</v>
      </c>
      <c r="N83">
        <v>5751</v>
      </c>
      <c r="O83">
        <v>5994</v>
      </c>
      <c r="P83">
        <v>5764</v>
      </c>
      <c r="Q83">
        <v>5247</v>
      </c>
    </row>
    <row r="84" spans="1:17" x14ac:dyDescent="0.25">
      <c r="A84" s="62">
        <v>-358734</v>
      </c>
      <c r="B84" s="62">
        <v>-72224</v>
      </c>
      <c r="C84" t="s">
        <v>226</v>
      </c>
      <c r="D84" s="63" t="s">
        <v>6</v>
      </c>
      <c r="E84">
        <v>5546</v>
      </c>
      <c r="F84">
        <v>5669</v>
      </c>
      <c r="G84">
        <v>5767</v>
      </c>
      <c r="H84">
        <v>5231</v>
      </c>
      <c r="I84">
        <v>4626</v>
      </c>
      <c r="J84">
        <v>4063</v>
      </c>
      <c r="K84">
        <v>4164</v>
      </c>
      <c r="L84">
        <v>4898</v>
      </c>
      <c r="M84">
        <v>5491</v>
      </c>
      <c r="N84">
        <v>5751</v>
      </c>
      <c r="O84">
        <v>5994</v>
      </c>
      <c r="P84">
        <v>5764</v>
      </c>
      <c r="Q84">
        <v>5247</v>
      </c>
    </row>
    <row r="85" spans="1:17" x14ac:dyDescent="0.25">
      <c r="A85" s="62">
        <v>-357851</v>
      </c>
      <c r="B85" s="62">
        <v>-71904</v>
      </c>
      <c r="C85" t="s">
        <v>227</v>
      </c>
      <c r="D85" s="63" t="s">
        <v>6</v>
      </c>
      <c r="E85">
        <v>5424</v>
      </c>
      <c r="F85">
        <v>5601</v>
      </c>
      <c r="G85">
        <v>5712</v>
      </c>
      <c r="H85">
        <v>5213</v>
      </c>
      <c r="I85">
        <v>4644</v>
      </c>
      <c r="J85">
        <v>4085</v>
      </c>
      <c r="K85">
        <v>4193</v>
      </c>
      <c r="L85">
        <v>4910</v>
      </c>
      <c r="M85">
        <v>5443</v>
      </c>
      <c r="N85">
        <v>5676</v>
      </c>
      <c r="O85">
        <v>5923</v>
      </c>
      <c r="P85">
        <v>5751</v>
      </c>
      <c r="Q85">
        <v>5215</v>
      </c>
    </row>
    <row r="86" spans="1:17" x14ac:dyDescent="0.25">
      <c r="A86" s="62">
        <v>-356799</v>
      </c>
      <c r="B86" s="62">
        <v>-71867</v>
      </c>
      <c r="C86" t="s">
        <v>228</v>
      </c>
      <c r="D86" s="63" t="s">
        <v>6</v>
      </c>
      <c r="E86">
        <v>5510</v>
      </c>
      <c r="F86">
        <v>5626</v>
      </c>
      <c r="G86">
        <v>5632</v>
      </c>
      <c r="H86">
        <v>5149</v>
      </c>
      <c r="I86">
        <v>4585</v>
      </c>
      <c r="J86">
        <v>4110</v>
      </c>
      <c r="K86">
        <v>4239</v>
      </c>
      <c r="L86">
        <v>4881</v>
      </c>
      <c r="M86">
        <v>5402</v>
      </c>
      <c r="N86">
        <v>5575</v>
      </c>
      <c r="O86">
        <v>5819</v>
      </c>
      <c r="P86">
        <v>5693</v>
      </c>
      <c r="Q86">
        <v>5185</v>
      </c>
    </row>
    <row r="87" spans="1:17" x14ac:dyDescent="0.25">
      <c r="A87" s="62">
        <v>-355741</v>
      </c>
      <c r="B87" s="62">
        <v>-71746</v>
      </c>
      <c r="C87" t="s">
        <v>229</v>
      </c>
      <c r="D87" s="63" t="s">
        <v>6</v>
      </c>
      <c r="E87">
        <v>5623</v>
      </c>
      <c r="F87">
        <v>5718</v>
      </c>
      <c r="G87">
        <v>5712</v>
      </c>
      <c r="H87">
        <v>5195</v>
      </c>
      <c r="I87">
        <v>4615</v>
      </c>
      <c r="J87">
        <v>4086</v>
      </c>
      <c r="K87">
        <v>4276</v>
      </c>
      <c r="L87">
        <v>4982</v>
      </c>
      <c r="M87">
        <v>5476</v>
      </c>
      <c r="N87">
        <v>5639</v>
      </c>
      <c r="O87">
        <v>5896</v>
      </c>
      <c r="P87">
        <v>5824</v>
      </c>
      <c r="Q87">
        <v>5253</v>
      </c>
    </row>
    <row r="88" spans="1:17" x14ac:dyDescent="0.25">
      <c r="A88" s="62">
        <v>-353782</v>
      </c>
      <c r="B88" s="62">
        <v>-72478</v>
      </c>
      <c r="C88" t="s">
        <v>230</v>
      </c>
      <c r="D88" s="63" t="s">
        <v>6</v>
      </c>
      <c r="E88">
        <v>5644</v>
      </c>
      <c r="F88">
        <v>5799</v>
      </c>
      <c r="G88">
        <v>5850</v>
      </c>
      <c r="H88">
        <v>5332</v>
      </c>
      <c r="I88">
        <v>4639</v>
      </c>
      <c r="J88">
        <v>4219</v>
      </c>
      <c r="K88">
        <v>4348</v>
      </c>
      <c r="L88">
        <v>5087</v>
      </c>
      <c r="M88">
        <v>5515</v>
      </c>
      <c r="N88">
        <v>5713</v>
      </c>
      <c r="O88">
        <v>5963</v>
      </c>
      <c r="P88">
        <v>5823</v>
      </c>
      <c r="Q88">
        <v>5327</v>
      </c>
    </row>
    <row r="89" spans="1:17" x14ac:dyDescent="0.25">
      <c r="A89" s="62">
        <v>-352792</v>
      </c>
      <c r="B89" s="62">
        <v>-71787</v>
      </c>
      <c r="C89" t="s">
        <v>231</v>
      </c>
      <c r="D89" s="63" t="s">
        <v>6</v>
      </c>
      <c r="E89">
        <v>5652</v>
      </c>
      <c r="F89">
        <v>5782</v>
      </c>
      <c r="G89">
        <v>5891</v>
      </c>
      <c r="H89">
        <v>5305</v>
      </c>
      <c r="I89">
        <v>4632</v>
      </c>
      <c r="J89">
        <v>4245</v>
      </c>
      <c r="K89">
        <v>4339</v>
      </c>
      <c r="L89">
        <v>5116</v>
      </c>
      <c r="M89">
        <v>5542</v>
      </c>
      <c r="N89">
        <v>5763</v>
      </c>
      <c r="O89">
        <v>5985</v>
      </c>
      <c r="P89">
        <v>5881</v>
      </c>
      <c r="Q89">
        <v>5344</v>
      </c>
    </row>
    <row r="90" spans="1:17" x14ac:dyDescent="0.25">
      <c r="A90" s="62">
        <v>-352019</v>
      </c>
      <c r="B90" s="62">
        <v>-72481</v>
      </c>
      <c r="C90" t="s">
        <v>232</v>
      </c>
      <c r="D90" s="63" t="s">
        <v>6</v>
      </c>
      <c r="E90">
        <v>5652</v>
      </c>
      <c r="F90">
        <v>5782</v>
      </c>
      <c r="G90">
        <v>5891</v>
      </c>
      <c r="H90">
        <v>5305</v>
      </c>
      <c r="I90">
        <v>4632</v>
      </c>
      <c r="J90">
        <v>4245</v>
      </c>
      <c r="K90">
        <v>4339</v>
      </c>
      <c r="L90">
        <v>5116</v>
      </c>
      <c r="M90">
        <v>5542</v>
      </c>
      <c r="N90">
        <v>5763</v>
      </c>
      <c r="O90">
        <v>5985</v>
      </c>
      <c r="P90">
        <v>5881</v>
      </c>
      <c r="Q90">
        <v>5344</v>
      </c>
    </row>
    <row r="91" spans="1:17" x14ac:dyDescent="0.25">
      <c r="A91" s="62">
        <v>-349707</v>
      </c>
      <c r="B91" s="62">
        <v>-71512</v>
      </c>
      <c r="C91" t="s">
        <v>233</v>
      </c>
      <c r="D91" s="63" t="s">
        <v>6</v>
      </c>
      <c r="E91">
        <v>5843</v>
      </c>
      <c r="F91">
        <v>5959</v>
      </c>
      <c r="G91">
        <v>5993</v>
      </c>
      <c r="H91">
        <v>5331</v>
      </c>
      <c r="I91">
        <v>4775</v>
      </c>
      <c r="J91">
        <v>4333</v>
      </c>
      <c r="K91">
        <v>4443</v>
      </c>
      <c r="L91">
        <v>5216</v>
      </c>
      <c r="M91">
        <v>5609</v>
      </c>
      <c r="N91">
        <v>5901</v>
      </c>
      <c r="O91">
        <v>6123</v>
      </c>
      <c r="P91">
        <v>6023</v>
      </c>
      <c r="Q91">
        <v>5462</v>
      </c>
    </row>
    <row r="92" spans="1:17" x14ac:dyDescent="0.25">
      <c r="A92" s="62">
        <v>-385023</v>
      </c>
      <c r="B92" s="62">
        <v>-71191</v>
      </c>
      <c r="C92" t="s">
        <v>234</v>
      </c>
      <c r="D92" s="63" t="s">
        <v>6</v>
      </c>
      <c r="E92">
        <v>6194</v>
      </c>
      <c r="F92">
        <v>6156</v>
      </c>
      <c r="G92">
        <v>6116</v>
      </c>
      <c r="H92">
        <v>5824</v>
      </c>
      <c r="I92">
        <v>5256</v>
      </c>
      <c r="J92">
        <v>4973</v>
      </c>
      <c r="K92">
        <v>5227</v>
      </c>
      <c r="L92">
        <v>6017</v>
      </c>
      <c r="M92">
        <v>6601</v>
      </c>
      <c r="N92">
        <v>6671</v>
      </c>
      <c r="O92">
        <v>6766</v>
      </c>
      <c r="P92">
        <v>6479</v>
      </c>
      <c r="Q92">
        <v>6023</v>
      </c>
    </row>
    <row r="93" spans="1:17" x14ac:dyDescent="0.25">
      <c r="A93" s="62">
        <v>-381684</v>
      </c>
      <c r="B93" s="62">
        <v>-70922</v>
      </c>
      <c r="C93" t="s">
        <v>235</v>
      </c>
      <c r="D93" s="63" t="s">
        <v>6</v>
      </c>
      <c r="E93">
        <v>6327</v>
      </c>
      <c r="F93">
        <v>6166</v>
      </c>
      <c r="G93">
        <v>6228</v>
      </c>
      <c r="H93">
        <v>5897</v>
      </c>
      <c r="I93">
        <v>5270</v>
      </c>
      <c r="J93">
        <v>4904</v>
      </c>
      <c r="K93">
        <v>5192</v>
      </c>
      <c r="L93">
        <v>5930</v>
      </c>
      <c r="M93">
        <v>6553</v>
      </c>
      <c r="N93">
        <v>6666</v>
      </c>
      <c r="O93">
        <v>6845</v>
      </c>
      <c r="P93">
        <v>6506</v>
      </c>
      <c r="Q93">
        <v>6041</v>
      </c>
    </row>
    <row r="94" spans="1:17" x14ac:dyDescent="0.25">
      <c r="A94" s="62">
        <v>-377166</v>
      </c>
      <c r="B94" s="62">
        <v>-71001</v>
      </c>
      <c r="C94" t="s">
        <v>236</v>
      </c>
      <c r="D94" s="63" t="s">
        <v>6</v>
      </c>
      <c r="E94">
        <v>6241</v>
      </c>
      <c r="F94">
        <v>6118</v>
      </c>
      <c r="G94">
        <v>6284</v>
      </c>
      <c r="H94">
        <v>5844</v>
      </c>
      <c r="I94">
        <v>5196</v>
      </c>
      <c r="J94">
        <v>4773</v>
      </c>
      <c r="K94">
        <v>5020</v>
      </c>
      <c r="L94">
        <v>5844</v>
      </c>
      <c r="M94">
        <v>6480</v>
      </c>
      <c r="N94">
        <v>6662</v>
      </c>
      <c r="O94">
        <v>6792</v>
      </c>
      <c r="P94">
        <v>6420</v>
      </c>
      <c r="Q94">
        <v>5973</v>
      </c>
    </row>
    <row r="95" spans="1:17" x14ac:dyDescent="0.25">
      <c r="A95" s="62">
        <v>-376065</v>
      </c>
      <c r="B95" s="62">
        <v>-71256</v>
      </c>
      <c r="C95" t="s">
        <v>237</v>
      </c>
      <c r="D95" s="63" t="s">
        <v>6</v>
      </c>
      <c r="E95">
        <v>6217</v>
      </c>
      <c r="F95">
        <v>6185</v>
      </c>
      <c r="G95">
        <v>6338</v>
      </c>
      <c r="H95">
        <v>5881</v>
      </c>
      <c r="I95">
        <v>5190</v>
      </c>
      <c r="J95">
        <v>4796</v>
      </c>
      <c r="K95">
        <v>5037</v>
      </c>
      <c r="L95">
        <v>5809</v>
      </c>
      <c r="M95">
        <v>6487</v>
      </c>
      <c r="N95">
        <v>6634</v>
      </c>
      <c r="O95">
        <v>6734</v>
      </c>
      <c r="P95">
        <v>6484</v>
      </c>
      <c r="Q95">
        <v>5983</v>
      </c>
    </row>
    <row r="96" spans="1:17" x14ac:dyDescent="0.25">
      <c r="A96" s="62">
        <v>-37444</v>
      </c>
      <c r="B96" s="62">
        <v>-70842</v>
      </c>
      <c r="C96" t="s">
        <v>238</v>
      </c>
      <c r="D96" s="63" t="s">
        <v>6</v>
      </c>
      <c r="E96">
        <v>6260</v>
      </c>
      <c r="F96">
        <v>6337</v>
      </c>
      <c r="G96">
        <v>6424</v>
      </c>
      <c r="H96">
        <v>5958</v>
      </c>
      <c r="I96">
        <v>5234</v>
      </c>
      <c r="J96">
        <v>4784</v>
      </c>
      <c r="K96">
        <v>5013</v>
      </c>
      <c r="L96">
        <v>5859</v>
      </c>
      <c r="M96">
        <v>6498</v>
      </c>
      <c r="N96">
        <v>6676</v>
      </c>
      <c r="O96">
        <v>6798</v>
      </c>
      <c r="P96">
        <v>6536</v>
      </c>
      <c r="Q96">
        <v>6032</v>
      </c>
    </row>
    <row r="97" spans="1:17" x14ac:dyDescent="0.25">
      <c r="A97" s="62">
        <v>-371566</v>
      </c>
      <c r="B97" s="62">
        <v>-71288</v>
      </c>
      <c r="C97" t="s">
        <v>239</v>
      </c>
      <c r="D97" s="63" t="s">
        <v>6</v>
      </c>
      <c r="E97">
        <v>6256</v>
      </c>
      <c r="F97">
        <v>6271</v>
      </c>
      <c r="G97">
        <v>6257</v>
      </c>
      <c r="H97">
        <v>5894</v>
      </c>
      <c r="I97">
        <v>5171</v>
      </c>
      <c r="J97">
        <v>4692</v>
      </c>
      <c r="K97">
        <v>5023</v>
      </c>
      <c r="L97">
        <v>5806</v>
      </c>
      <c r="M97">
        <v>6451</v>
      </c>
      <c r="N97">
        <v>6593</v>
      </c>
      <c r="O97">
        <v>6657</v>
      </c>
      <c r="P97">
        <v>6328</v>
      </c>
      <c r="Q97">
        <v>5950</v>
      </c>
    </row>
    <row r="98" spans="1:17" x14ac:dyDescent="0.25">
      <c r="A98" s="62">
        <v>-370494</v>
      </c>
      <c r="B98" s="62">
        <v>-71369</v>
      </c>
      <c r="C98" t="s">
        <v>240</v>
      </c>
      <c r="D98" s="63" t="s">
        <v>6</v>
      </c>
      <c r="E98">
        <v>6107</v>
      </c>
      <c r="F98">
        <v>6183</v>
      </c>
      <c r="G98">
        <v>6165</v>
      </c>
      <c r="H98">
        <v>5808</v>
      </c>
      <c r="I98">
        <v>5147</v>
      </c>
      <c r="J98">
        <v>4626</v>
      </c>
      <c r="K98">
        <v>4995</v>
      </c>
      <c r="L98">
        <v>5785</v>
      </c>
      <c r="M98">
        <v>6408</v>
      </c>
      <c r="N98">
        <v>6502</v>
      </c>
      <c r="O98">
        <v>6592</v>
      </c>
      <c r="P98">
        <v>6270</v>
      </c>
      <c r="Q98">
        <v>5882</v>
      </c>
    </row>
    <row r="99" spans="1:17" x14ac:dyDescent="0.25">
      <c r="A99" s="62">
        <v>-36945</v>
      </c>
      <c r="B99" s="62">
        <v>-71238</v>
      </c>
      <c r="C99" t="s">
        <v>241</v>
      </c>
      <c r="D99" s="63" t="s">
        <v>6</v>
      </c>
      <c r="E99">
        <v>6079</v>
      </c>
      <c r="F99">
        <v>6135</v>
      </c>
      <c r="G99">
        <v>6101</v>
      </c>
      <c r="H99">
        <v>5758</v>
      </c>
      <c r="I99">
        <v>5109</v>
      </c>
      <c r="J99">
        <v>4589</v>
      </c>
      <c r="K99">
        <v>4934</v>
      </c>
      <c r="L99">
        <v>5720</v>
      </c>
      <c r="M99">
        <v>6356</v>
      </c>
      <c r="N99">
        <v>6488</v>
      </c>
      <c r="O99">
        <v>6585</v>
      </c>
      <c r="P99">
        <v>6244</v>
      </c>
      <c r="Q99">
        <v>5842</v>
      </c>
    </row>
    <row r="100" spans="1:17" x14ac:dyDescent="0.25">
      <c r="A100" s="62">
        <v>-36845</v>
      </c>
      <c r="B100" s="62">
        <v>-71027</v>
      </c>
      <c r="C100" t="s">
        <v>242</v>
      </c>
      <c r="D100" s="63" t="s">
        <v>6</v>
      </c>
      <c r="E100">
        <v>6041</v>
      </c>
      <c r="F100">
        <v>6035</v>
      </c>
      <c r="G100">
        <v>5987</v>
      </c>
      <c r="H100">
        <v>5652</v>
      </c>
      <c r="I100">
        <v>4992</v>
      </c>
      <c r="J100">
        <v>4500</v>
      </c>
      <c r="K100">
        <v>4786</v>
      </c>
      <c r="L100">
        <v>5572</v>
      </c>
      <c r="M100">
        <v>6219</v>
      </c>
      <c r="N100">
        <v>6428</v>
      </c>
      <c r="O100">
        <v>6542</v>
      </c>
      <c r="P100">
        <v>6208</v>
      </c>
      <c r="Q100">
        <v>5747</v>
      </c>
    </row>
    <row r="101" spans="1:17" x14ac:dyDescent="0.25">
      <c r="A101" s="62">
        <v>-367314</v>
      </c>
      <c r="B101" s="62">
        <v>-7075</v>
      </c>
      <c r="C101" t="s">
        <v>243</v>
      </c>
      <c r="D101" s="63" t="s">
        <v>6</v>
      </c>
      <c r="E101">
        <v>5964</v>
      </c>
      <c r="F101">
        <v>5959</v>
      </c>
      <c r="G101">
        <v>5919</v>
      </c>
      <c r="H101">
        <v>5518</v>
      </c>
      <c r="I101">
        <v>4909</v>
      </c>
      <c r="J101">
        <v>4412</v>
      </c>
      <c r="K101">
        <v>4659</v>
      </c>
      <c r="L101">
        <v>5437</v>
      </c>
      <c r="M101">
        <v>6081</v>
      </c>
      <c r="N101">
        <v>6314</v>
      </c>
      <c r="O101">
        <v>6427</v>
      </c>
      <c r="P101">
        <v>6099</v>
      </c>
      <c r="Q101">
        <v>5642</v>
      </c>
    </row>
    <row r="102" spans="1:17" x14ac:dyDescent="0.25">
      <c r="A102" s="62">
        <v>-365792</v>
      </c>
      <c r="B102" s="62">
        <v>-70684</v>
      </c>
      <c r="C102" t="s">
        <v>244</v>
      </c>
      <c r="D102" s="63" t="s">
        <v>6</v>
      </c>
      <c r="E102">
        <v>5805</v>
      </c>
      <c r="F102">
        <v>5844</v>
      </c>
      <c r="G102">
        <v>5908</v>
      </c>
      <c r="H102">
        <v>5505</v>
      </c>
      <c r="I102">
        <v>4826</v>
      </c>
      <c r="J102">
        <v>4354</v>
      </c>
      <c r="K102">
        <v>4597</v>
      </c>
      <c r="L102">
        <v>5316</v>
      </c>
      <c r="M102">
        <v>5966</v>
      </c>
      <c r="N102">
        <v>6183</v>
      </c>
      <c r="O102">
        <v>6370</v>
      </c>
      <c r="P102">
        <v>6057</v>
      </c>
      <c r="Q102">
        <v>5561</v>
      </c>
    </row>
    <row r="103" spans="1:17" x14ac:dyDescent="0.25">
      <c r="A103" s="62">
        <v>-363629</v>
      </c>
      <c r="B103" s="62">
        <v>-70591</v>
      </c>
      <c r="C103" t="s">
        <v>245</v>
      </c>
      <c r="D103" s="63" t="s">
        <v>6</v>
      </c>
      <c r="E103">
        <v>5771</v>
      </c>
      <c r="F103">
        <v>5825</v>
      </c>
      <c r="G103">
        <v>5866</v>
      </c>
      <c r="H103">
        <v>5393</v>
      </c>
      <c r="I103">
        <v>4760</v>
      </c>
      <c r="J103">
        <v>4258</v>
      </c>
      <c r="K103">
        <v>4439</v>
      </c>
      <c r="L103">
        <v>5150</v>
      </c>
      <c r="M103">
        <v>5825</v>
      </c>
      <c r="N103">
        <v>6106</v>
      </c>
      <c r="O103">
        <v>6310</v>
      </c>
      <c r="P103">
        <v>6036</v>
      </c>
      <c r="Q103">
        <v>5478</v>
      </c>
    </row>
    <row r="104" spans="1:17" x14ac:dyDescent="0.25">
      <c r="A104" s="62">
        <v>-360608</v>
      </c>
      <c r="B104" s="62">
        <v>-70738</v>
      </c>
      <c r="C104" t="s">
        <v>246</v>
      </c>
      <c r="D104" s="63" t="s">
        <v>6</v>
      </c>
      <c r="E104">
        <v>5762</v>
      </c>
      <c r="F104">
        <v>5812</v>
      </c>
      <c r="G104">
        <v>5874</v>
      </c>
      <c r="H104">
        <v>5315</v>
      </c>
      <c r="I104">
        <v>4712</v>
      </c>
      <c r="J104">
        <v>4180</v>
      </c>
      <c r="K104">
        <v>4411</v>
      </c>
      <c r="L104">
        <v>5075</v>
      </c>
      <c r="M104">
        <v>5700</v>
      </c>
      <c r="N104">
        <v>6013</v>
      </c>
      <c r="O104">
        <v>6165</v>
      </c>
      <c r="P104">
        <v>5985</v>
      </c>
      <c r="Q104">
        <v>5417</v>
      </c>
    </row>
    <row r="105" spans="1:17" x14ac:dyDescent="0.25">
      <c r="A105" s="62">
        <v>-359595</v>
      </c>
      <c r="B105" s="62">
        <v>-70889</v>
      </c>
      <c r="C105" t="s">
        <v>247</v>
      </c>
      <c r="D105" s="63" t="s">
        <v>6</v>
      </c>
      <c r="E105">
        <v>5813</v>
      </c>
      <c r="F105">
        <v>5928</v>
      </c>
      <c r="G105">
        <v>5877</v>
      </c>
      <c r="H105">
        <v>5374</v>
      </c>
      <c r="I105">
        <v>4781</v>
      </c>
      <c r="J105">
        <v>4224</v>
      </c>
      <c r="K105">
        <v>4383</v>
      </c>
      <c r="L105">
        <v>5136</v>
      </c>
      <c r="M105">
        <v>5683</v>
      </c>
      <c r="N105">
        <v>5952</v>
      </c>
      <c r="O105">
        <v>6133</v>
      </c>
      <c r="P105">
        <v>5958</v>
      </c>
      <c r="Q105">
        <v>5437</v>
      </c>
    </row>
    <row r="106" spans="1:17" x14ac:dyDescent="0.25">
      <c r="A106" s="62">
        <v>-359686</v>
      </c>
      <c r="B106" s="62">
        <v>-71457</v>
      </c>
      <c r="C106" t="s">
        <v>248</v>
      </c>
      <c r="D106" s="63" t="s">
        <v>6</v>
      </c>
      <c r="E106">
        <v>5813</v>
      </c>
      <c r="F106">
        <v>5928</v>
      </c>
      <c r="G106">
        <v>5877</v>
      </c>
      <c r="H106">
        <v>5374</v>
      </c>
      <c r="I106">
        <v>4781</v>
      </c>
      <c r="J106">
        <v>4224</v>
      </c>
      <c r="K106">
        <v>4383</v>
      </c>
      <c r="L106">
        <v>5136</v>
      </c>
      <c r="M106">
        <v>5683</v>
      </c>
      <c r="N106">
        <v>5952</v>
      </c>
      <c r="O106">
        <v>6133</v>
      </c>
      <c r="P106">
        <v>5958</v>
      </c>
      <c r="Q106">
        <v>5437</v>
      </c>
    </row>
    <row r="107" spans="1:17" x14ac:dyDescent="0.25">
      <c r="A107" s="62">
        <v>-358686</v>
      </c>
      <c r="B107" s="62">
        <v>-71057</v>
      </c>
      <c r="C107" t="s">
        <v>249</v>
      </c>
      <c r="D107" s="63" t="s">
        <v>6</v>
      </c>
      <c r="E107">
        <v>5701</v>
      </c>
      <c r="F107">
        <v>5812</v>
      </c>
      <c r="G107">
        <v>5793</v>
      </c>
      <c r="H107">
        <v>5332</v>
      </c>
      <c r="I107">
        <v>4684</v>
      </c>
      <c r="J107">
        <v>4148</v>
      </c>
      <c r="K107">
        <v>4272</v>
      </c>
      <c r="L107">
        <v>5041</v>
      </c>
      <c r="M107">
        <v>5561</v>
      </c>
      <c r="N107">
        <v>5870</v>
      </c>
      <c r="O107">
        <v>6072</v>
      </c>
      <c r="P107">
        <v>5902</v>
      </c>
      <c r="Q107">
        <v>5349</v>
      </c>
    </row>
    <row r="108" spans="1:17" x14ac:dyDescent="0.25">
      <c r="A108" s="62">
        <v>-357639</v>
      </c>
      <c r="B108" s="62">
        <v>-70608</v>
      </c>
      <c r="C108" t="s">
        <v>250</v>
      </c>
      <c r="D108" s="63" t="s">
        <v>6</v>
      </c>
      <c r="E108">
        <v>5599</v>
      </c>
      <c r="F108">
        <v>5726</v>
      </c>
      <c r="G108">
        <v>5716</v>
      </c>
      <c r="H108">
        <v>5282</v>
      </c>
      <c r="I108">
        <v>4617</v>
      </c>
      <c r="J108">
        <v>4098</v>
      </c>
      <c r="K108">
        <v>4171</v>
      </c>
      <c r="L108">
        <v>4947</v>
      </c>
      <c r="M108">
        <v>5436</v>
      </c>
      <c r="N108">
        <v>5731</v>
      </c>
      <c r="O108">
        <v>6000</v>
      </c>
      <c r="P108">
        <v>5810</v>
      </c>
      <c r="Q108">
        <v>5261</v>
      </c>
    </row>
    <row r="109" spans="1:17" x14ac:dyDescent="0.25">
      <c r="A109" s="62">
        <v>-357701</v>
      </c>
      <c r="B109" s="62">
        <v>-71221</v>
      </c>
      <c r="C109" t="s">
        <v>251</v>
      </c>
      <c r="D109" s="63" t="s">
        <v>6</v>
      </c>
      <c r="E109">
        <v>5599</v>
      </c>
      <c r="F109">
        <v>5726</v>
      </c>
      <c r="G109">
        <v>5716</v>
      </c>
      <c r="H109">
        <v>5282</v>
      </c>
      <c r="I109">
        <v>4617</v>
      </c>
      <c r="J109">
        <v>4098</v>
      </c>
      <c r="K109">
        <v>4171</v>
      </c>
      <c r="L109">
        <v>4947</v>
      </c>
      <c r="M109">
        <v>5436</v>
      </c>
      <c r="N109">
        <v>5731</v>
      </c>
      <c r="O109">
        <v>6000</v>
      </c>
      <c r="P109">
        <v>5810</v>
      </c>
      <c r="Q109">
        <v>5261</v>
      </c>
    </row>
    <row r="110" spans="1:17" x14ac:dyDescent="0.25">
      <c r="A110" s="62">
        <v>-354251</v>
      </c>
      <c r="B110" s="62">
        <v>-7122</v>
      </c>
      <c r="C110" t="s">
        <v>252</v>
      </c>
      <c r="D110" s="63" t="s">
        <v>6</v>
      </c>
      <c r="E110">
        <v>5572</v>
      </c>
      <c r="F110">
        <v>5766</v>
      </c>
      <c r="G110">
        <v>5808</v>
      </c>
      <c r="H110">
        <v>5269</v>
      </c>
      <c r="I110">
        <v>4672</v>
      </c>
      <c r="J110">
        <v>4192</v>
      </c>
      <c r="K110">
        <v>4374</v>
      </c>
      <c r="L110">
        <v>5089</v>
      </c>
      <c r="M110">
        <v>5503</v>
      </c>
      <c r="N110">
        <v>5739</v>
      </c>
      <c r="O110">
        <v>6005</v>
      </c>
      <c r="P110">
        <v>5846</v>
      </c>
      <c r="Q110">
        <v>5320</v>
      </c>
    </row>
    <row r="111" spans="1:17" x14ac:dyDescent="0.25">
      <c r="A111" s="62">
        <v>-353183</v>
      </c>
      <c r="B111" s="62">
        <v>-70598</v>
      </c>
      <c r="C111" t="s">
        <v>253</v>
      </c>
      <c r="D111" s="63" t="s">
        <v>6</v>
      </c>
      <c r="E111">
        <v>5701</v>
      </c>
      <c r="F111">
        <v>5754</v>
      </c>
      <c r="G111">
        <v>5881</v>
      </c>
      <c r="H111">
        <v>5321</v>
      </c>
      <c r="I111">
        <v>4663</v>
      </c>
      <c r="J111">
        <v>4271</v>
      </c>
      <c r="K111">
        <v>4358</v>
      </c>
      <c r="L111">
        <v>5155</v>
      </c>
      <c r="M111">
        <v>5556</v>
      </c>
      <c r="N111">
        <v>5829</v>
      </c>
      <c r="O111">
        <v>6099</v>
      </c>
      <c r="P111">
        <v>5943</v>
      </c>
      <c r="Q111">
        <v>5378</v>
      </c>
    </row>
    <row r="112" spans="1:17" x14ac:dyDescent="0.25">
      <c r="A112" s="62">
        <v>-35325</v>
      </c>
      <c r="B112" s="62">
        <v>-71033</v>
      </c>
      <c r="C112" t="s">
        <v>254</v>
      </c>
      <c r="D112" s="63" t="s">
        <v>6</v>
      </c>
      <c r="E112">
        <v>5701</v>
      </c>
      <c r="F112">
        <v>5754</v>
      </c>
      <c r="G112">
        <v>5881</v>
      </c>
      <c r="H112">
        <v>5321</v>
      </c>
      <c r="I112">
        <v>4663</v>
      </c>
      <c r="J112">
        <v>4271</v>
      </c>
      <c r="K112">
        <v>4358</v>
      </c>
      <c r="L112">
        <v>5155</v>
      </c>
      <c r="M112">
        <v>5556</v>
      </c>
      <c r="N112">
        <v>5829</v>
      </c>
      <c r="O112">
        <v>6099</v>
      </c>
      <c r="P112">
        <v>5943</v>
      </c>
      <c r="Q112">
        <v>5378</v>
      </c>
    </row>
    <row r="113" spans="1:17" x14ac:dyDescent="0.25">
      <c r="A113" s="62">
        <v>-352305</v>
      </c>
      <c r="B113" s="62">
        <v>-70908</v>
      </c>
      <c r="C113" t="s">
        <v>255</v>
      </c>
      <c r="D113" s="63" t="s">
        <v>6</v>
      </c>
      <c r="E113">
        <v>5700</v>
      </c>
      <c r="F113">
        <v>5850</v>
      </c>
      <c r="G113">
        <v>5929</v>
      </c>
      <c r="H113">
        <v>5305</v>
      </c>
      <c r="I113">
        <v>4674</v>
      </c>
      <c r="J113">
        <v>4234</v>
      </c>
      <c r="K113">
        <v>4326</v>
      </c>
      <c r="L113">
        <v>5102</v>
      </c>
      <c r="M113">
        <v>5548</v>
      </c>
      <c r="N113">
        <v>5832</v>
      </c>
      <c r="O113">
        <v>6102</v>
      </c>
      <c r="P113">
        <v>5955</v>
      </c>
      <c r="Q113">
        <v>5380</v>
      </c>
    </row>
    <row r="114" spans="1:17" x14ac:dyDescent="0.25">
      <c r="A114" s="62">
        <v>-35236</v>
      </c>
      <c r="B114" s="62">
        <v>-71447</v>
      </c>
      <c r="C114" t="s">
        <v>256</v>
      </c>
      <c r="D114" s="63" t="s">
        <v>6</v>
      </c>
      <c r="E114">
        <v>5700</v>
      </c>
      <c r="F114">
        <v>5850</v>
      </c>
      <c r="G114">
        <v>5929</v>
      </c>
      <c r="H114">
        <v>5305</v>
      </c>
      <c r="I114">
        <v>4674</v>
      </c>
      <c r="J114">
        <v>4234</v>
      </c>
      <c r="K114">
        <v>4326</v>
      </c>
      <c r="L114">
        <v>5102</v>
      </c>
      <c r="M114">
        <v>5548</v>
      </c>
      <c r="N114">
        <v>5832</v>
      </c>
      <c r="O114">
        <v>6102</v>
      </c>
      <c r="P114">
        <v>5955</v>
      </c>
      <c r="Q114">
        <v>5380</v>
      </c>
    </row>
    <row r="115" spans="1:17" x14ac:dyDescent="0.25">
      <c r="A115" s="62">
        <v>-35086</v>
      </c>
      <c r="B115" s="62">
        <v>-71394</v>
      </c>
      <c r="C115" t="s">
        <v>257</v>
      </c>
      <c r="D115" s="63" t="s">
        <v>6</v>
      </c>
      <c r="E115">
        <v>5749</v>
      </c>
      <c r="F115">
        <v>5903</v>
      </c>
      <c r="G115">
        <v>5968</v>
      </c>
      <c r="H115">
        <v>5302</v>
      </c>
      <c r="I115">
        <v>4686</v>
      </c>
      <c r="J115">
        <v>4208</v>
      </c>
      <c r="K115">
        <v>4305</v>
      </c>
      <c r="L115">
        <v>5146</v>
      </c>
      <c r="M115">
        <v>5564</v>
      </c>
      <c r="N115">
        <v>5818</v>
      </c>
      <c r="O115">
        <v>6093</v>
      </c>
      <c r="P115">
        <v>5997</v>
      </c>
      <c r="Q115">
        <v>5395</v>
      </c>
    </row>
    <row r="116" spans="1:17" x14ac:dyDescent="0.25">
      <c r="A116" s="62">
        <v>-349256</v>
      </c>
      <c r="B116" s="62">
        <v>-71282</v>
      </c>
      <c r="C116" t="s">
        <v>258</v>
      </c>
      <c r="D116" s="63" t="s">
        <v>6</v>
      </c>
      <c r="E116">
        <v>5822</v>
      </c>
      <c r="F116">
        <v>5975</v>
      </c>
      <c r="G116">
        <v>6033</v>
      </c>
      <c r="H116">
        <v>5353</v>
      </c>
      <c r="I116">
        <v>4761</v>
      </c>
      <c r="J116">
        <v>4289</v>
      </c>
      <c r="K116">
        <v>4405</v>
      </c>
      <c r="L116">
        <v>5197</v>
      </c>
      <c r="M116">
        <v>5627</v>
      </c>
      <c r="N116">
        <v>5919</v>
      </c>
      <c r="O116">
        <v>6194</v>
      </c>
      <c r="P116">
        <v>6099</v>
      </c>
      <c r="Q116">
        <v>5473</v>
      </c>
    </row>
    <row r="117" spans="1:17" x14ac:dyDescent="0.25">
      <c r="A117" s="62">
        <v>-348647</v>
      </c>
      <c r="B117" s="62">
        <v>-71159</v>
      </c>
      <c r="C117" t="s">
        <v>259</v>
      </c>
      <c r="D117" s="63" t="s">
        <v>6</v>
      </c>
      <c r="E117">
        <v>5862</v>
      </c>
      <c r="F117">
        <v>6002</v>
      </c>
      <c r="G117">
        <v>6009</v>
      </c>
      <c r="H117">
        <v>5365</v>
      </c>
      <c r="I117">
        <v>4823</v>
      </c>
      <c r="J117">
        <v>4360</v>
      </c>
      <c r="K117">
        <v>4475</v>
      </c>
      <c r="L117">
        <v>5261</v>
      </c>
      <c r="M117">
        <v>5758</v>
      </c>
      <c r="N117">
        <v>6054</v>
      </c>
      <c r="O117">
        <v>6240</v>
      </c>
      <c r="P117">
        <v>6151</v>
      </c>
      <c r="Q117">
        <v>5530</v>
      </c>
    </row>
    <row r="118" spans="1:17" x14ac:dyDescent="0.25">
      <c r="A118" s="62">
        <v>-38346</v>
      </c>
      <c r="B118" s="62">
        <v>-70381</v>
      </c>
      <c r="C118" t="s">
        <v>260</v>
      </c>
      <c r="D118" s="63" t="s">
        <v>6</v>
      </c>
      <c r="E118">
        <v>6147</v>
      </c>
      <c r="F118">
        <v>6176</v>
      </c>
      <c r="G118">
        <v>6105</v>
      </c>
      <c r="H118">
        <v>5841</v>
      </c>
      <c r="I118">
        <v>5316</v>
      </c>
      <c r="J118">
        <v>5028</v>
      </c>
      <c r="K118">
        <v>5338</v>
      </c>
      <c r="L118">
        <v>6058</v>
      </c>
      <c r="M118">
        <v>6578</v>
      </c>
      <c r="N118">
        <v>6655</v>
      </c>
      <c r="O118">
        <v>6832</v>
      </c>
      <c r="P118">
        <v>6389</v>
      </c>
      <c r="Q118">
        <v>6039</v>
      </c>
    </row>
    <row r="119" spans="1:17" x14ac:dyDescent="0.25">
      <c r="A119" s="62">
        <v>-379349</v>
      </c>
      <c r="B119" s="62">
        <v>-70075</v>
      </c>
      <c r="C119" t="s">
        <v>261</v>
      </c>
      <c r="D119" s="63" t="s">
        <v>6</v>
      </c>
      <c r="E119">
        <v>6241</v>
      </c>
      <c r="F119">
        <v>6230</v>
      </c>
      <c r="G119">
        <v>6227</v>
      </c>
      <c r="H119">
        <v>5916</v>
      </c>
      <c r="I119">
        <v>5328</v>
      </c>
      <c r="J119">
        <v>4909</v>
      </c>
      <c r="K119">
        <v>5177</v>
      </c>
      <c r="L119">
        <v>5986</v>
      </c>
      <c r="M119">
        <v>6442</v>
      </c>
      <c r="N119">
        <v>6578</v>
      </c>
      <c r="O119">
        <v>6734</v>
      </c>
      <c r="P119">
        <v>6385</v>
      </c>
      <c r="Q119">
        <v>6013</v>
      </c>
    </row>
    <row r="120" spans="1:17" x14ac:dyDescent="0.25">
      <c r="A120" s="62">
        <v>-378012</v>
      </c>
      <c r="B120" s="62">
        <v>-69606</v>
      </c>
      <c r="C120" t="s">
        <v>262</v>
      </c>
      <c r="D120" s="63" t="s">
        <v>6</v>
      </c>
      <c r="E120">
        <v>6195</v>
      </c>
      <c r="F120">
        <v>6188</v>
      </c>
      <c r="G120">
        <v>6181</v>
      </c>
      <c r="H120">
        <v>5893</v>
      </c>
      <c r="I120">
        <v>5242</v>
      </c>
      <c r="J120">
        <v>4862</v>
      </c>
      <c r="K120">
        <v>5105</v>
      </c>
      <c r="L120">
        <v>5902</v>
      </c>
      <c r="M120">
        <v>6471</v>
      </c>
      <c r="N120">
        <v>6610</v>
      </c>
      <c r="O120">
        <v>6765</v>
      </c>
      <c r="P120">
        <v>6339</v>
      </c>
      <c r="Q120">
        <v>5979</v>
      </c>
    </row>
    <row r="121" spans="1:17" x14ac:dyDescent="0.25">
      <c r="A121" s="62">
        <v>-37275</v>
      </c>
      <c r="B121" s="62">
        <v>-70178</v>
      </c>
      <c r="C121" t="s">
        <v>263</v>
      </c>
      <c r="D121" s="63" t="s">
        <v>6</v>
      </c>
      <c r="E121">
        <v>6235</v>
      </c>
      <c r="F121">
        <v>6199</v>
      </c>
      <c r="G121">
        <v>6285</v>
      </c>
      <c r="H121">
        <v>5891</v>
      </c>
      <c r="I121">
        <v>5162</v>
      </c>
      <c r="J121">
        <v>4735</v>
      </c>
      <c r="K121">
        <v>5054</v>
      </c>
      <c r="L121">
        <v>5836</v>
      </c>
      <c r="M121">
        <v>6389</v>
      </c>
      <c r="N121">
        <v>6548</v>
      </c>
      <c r="O121">
        <v>6586</v>
      </c>
      <c r="P121">
        <v>6351</v>
      </c>
      <c r="Q121">
        <v>5939</v>
      </c>
    </row>
    <row r="122" spans="1:17" x14ac:dyDescent="0.25">
      <c r="A122" s="62">
        <v>-371484</v>
      </c>
      <c r="B122" s="62">
        <v>-70309</v>
      </c>
      <c r="C122" t="s">
        <v>264</v>
      </c>
      <c r="D122" s="63" t="s">
        <v>6</v>
      </c>
      <c r="E122">
        <v>6223</v>
      </c>
      <c r="F122">
        <v>6205</v>
      </c>
      <c r="G122">
        <v>6233</v>
      </c>
      <c r="H122">
        <v>5857</v>
      </c>
      <c r="I122">
        <v>5148</v>
      </c>
      <c r="J122">
        <v>4698</v>
      </c>
      <c r="K122">
        <v>5027</v>
      </c>
      <c r="L122">
        <v>5772</v>
      </c>
      <c r="M122">
        <v>6389</v>
      </c>
      <c r="N122">
        <v>6545</v>
      </c>
      <c r="O122">
        <v>6571</v>
      </c>
      <c r="P122">
        <v>6290</v>
      </c>
      <c r="Q122">
        <v>5913</v>
      </c>
    </row>
    <row r="123" spans="1:17" x14ac:dyDescent="0.25">
      <c r="A123" s="62">
        <v>-367169</v>
      </c>
      <c r="B123" s="62">
        <v>-69931</v>
      </c>
      <c r="C123" t="s">
        <v>265</v>
      </c>
      <c r="D123" s="63" t="s">
        <v>6</v>
      </c>
      <c r="E123">
        <v>6022</v>
      </c>
      <c r="F123">
        <v>5976</v>
      </c>
      <c r="G123">
        <v>5954</v>
      </c>
      <c r="H123">
        <v>5568</v>
      </c>
      <c r="I123">
        <v>4993</v>
      </c>
      <c r="J123">
        <v>4560</v>
      </c>
      <c r="K123">
        <v>4847</v>
      </c>
      <c r="L123">
        <v>5625</v>
      </c>
      <c r="M123">
        <v>6225</v>
      </c>
      <c r="N123">
        <v>6413</v>
      </c>
      <c r="O123">
        <v>6495</v>
      </c>
      <c r="P123">
        <v>6147</v>
      </c>
      <c r="Q123">
        <v>5735</v>
      </c>
    </row>
    <row r="124" spans="1:17" x14ac:dyDescent="0.25">
      <c r="A124" s="62">
        <v>-36244</v>
      </c>
      <c r="B124" s="62">
        <v>-69917</v>
      </c>
      <c r="C124" t="s">
        <v>266</v>
      </c>
      <c r="D124" s="63" t="s">
        <v>6</v>
      </c>
      <c r="E124">
        <v>5799</v>
      </c>
      <c r="F124">
        <v>5788</v>
      </c>
      <c r="G124">
        <v>5803</v>
      </c>
      <c r="H124">
        <v>5317</v>
      </c>
      <c r="I124">
        <v>4778</v>
      </c>
      <c r="J124">
        <v>4196</v>
      </c>
      <c r="K124">
        <v>4458</v>
      </c>
      <c r="L124">
        <v>5157</v>
      </c>
      <c r="M124">
        <v>5782</v>
      </c>
      <c r="N124">
        <v>6092</v>
      </c>
      <c r="O124">
        <v>6276</v>
      </c>
      <c r="P124">
        <v>5968</v>
      </c>
      <c r="Q124">
        <v>5451</v>
      </c>
    </row>
    <row r="125" spans="1:17" x14ac:dyDescent="0.25">
      <c r="A125" s="62">
        <v>-359251</v>
      </c>
      <c r="B125" s="62">
        <v>-70499</v>
      </c>
      <c r="C125" t="s">
        <v>267</v>
      </c>
      <c r="D125" s="63" t="s">
        <v>6</v>
      </c>
      <c r="E125">
        <v>5831</v>
      </c>
      <c r="F125">
        <v>5850</v>
      </c>
      <c r="G125">
        <v>5908</v>
      </c>
      <c r="H125">
        <v>5390</v>
      </c>
      <c r="I125">
        <v>4787</v>
      </c>
      <c r="J125">
        <v>4255</v>
      </c>
      <c r="K125">
        <v>4450</v>
      </c>
      <c r="L125">
        <v>5157</v>
      </c>
      <c r="M125">
        <v>5682</v>
      </c>
      <c r="N125">
        <v>5971</v>
      </c>
      <c r="O125">
        <v>6200</v>
      </c>
      <c r="P125">
        <v>5966</v>
      </c>
      <c r="Q125">
        <v>5454</v>
      </c>
    </row>
    <row r="126" spans="1:17" x14ac:dyDescent="0.25">
      <c r="A126" s="62">
        <v>-358595</v>
      </c>
      <c r="B126" s="62">
        <v>-70187</v>
      </c>
      <c r="C126" t="s">
        <v>268</v>
      </c>
      <c r="D126" s="63" t="s">
        <v>6</v>
      </c>
      <c r="E126">
        <v>5783</v>
      </c>
      <c r="F126">
        <v>5885</v>
      </c>
      <c r="G126">
        <v>5872</v>
      </c>
      <c r="H126">
        <v>5402</v>
      </c>
      <c r="I126">
        <v>4776</v>
      </c>
      <c r="J126">
        <v>4238</v>
      </c>
      <c r="K126">
        <v>4413</v>
      </c>
      <c r="L126">
        <v>5139</v>
      </c>
      <c r="M126">
        <v>5663</v>
      </c>
      <c r="N126">
        <v>5944</v>
      </c>
      <c r="O126">
        <v>6199</v>
      </c>
      <c r="P126">
        <v>5989</v>
      </c>
      <c r="Q126">
        <v>5442</v>
      </c>
    </row>
    <row r="127" spans="1:17" x14ac:dyDescent="0.25">
      <c r="A127" s="62">
        <v>-357989</v>
      </c>
      <c r="B127" s="62">
        <v>-69554</v>
      </c>
      <c r="C127" t="s">
        <v>269</v>
      </c>
      <c r="D127" s="63" t="s">
        <v>6</v>
      </c>
      <c r="E127">
        <v>5721</v>
      </c>
      <c r="F127">
        <v>5854</v>
      </c>
      <c r="G127">
        <v>5797</v>
      </c>
      <c r="H127">
        <v>5339</v>
      </c>
      <c r="I127">
        <v>4702</v>
      </c>
      <c r="J127">
        <v>4152</v>
      </c>
      <c r="K127">
        <v>4297</v>
      </c>
      <c r="L127">
        <v>5027</v>
      </c>
      <c r="M127">
        <v>5591</v>
      </c>
      <c r="N127">
        <v>5865</v>
      </c>
      <c r="O127">
        <v>6153</v>
      </c>
      <c r="P127">
        <v>5956</v>
      </c>
      <c r="Q127">
        <v>5371</v>
      </c>
    </row>
    <row r="128" spans="1:17" x14ac:dyDescent="0.25">
      <c r="A128" s="62">
        <v>-357026</v>
      </c>
      <c r="B128" s="62">
        <v>-69654</v>
      </c>
      <c r="C128" t="s">
        <v>270</v>
      </c>
      <c r="D128" s="63" t="s">
        <v>6</v>
      </c>
      <c r="E128">
        <v>5721</v>
      </c>
      <c r="F128">
        <v>5854</v>
      </c>
      <c r="G128">
        <v>5797</v>
      </c>
      <c r="H128">
        <v>5339</v>
      </c>
      <c r="I128">
        <v>4702</v>
      </c>
      <c r="J128">
        <v>4152</v>
      </c>
      <c r="K128">
        <v>4297</v>
      </c>
      <c r="L128">
        <v>5027</v>
      </c>
      <c r="M128">
        <v>5591</v>
      </c>
      <c r="N128">
        <v>5865</v>
      </c>
      <c r="O128">
        <v>6153</v>
      </c>
      <c r="P128">
        <v>5956</v>
      </c>
      <c r="Q128">
        <v>5371</v>
      </c>
    </row>
    <row r="129" spans="1:17" x14ac:dyDescent="0.25">
      <c r="A129" s="62">
        <v>-356271</v>
      </c>
      <c r="B129" s="62">
        <v>-70411</v>
      </c>
      <c r="C129" t="s">
        <v>271</v>
      </c>
      <c r="D129" s="63" t="s">
        <v>6</v>
      </c>
      <c r="E129">
        <v>5571</v>
      </c>
      <c r="F129">
        <v>5660</v>
      </c>
      <c r="G129">
        <v>5659</v>
      </c>
      <c r="H129">
        <v>5174</v>
      </c>
      <c r="I129">
        <v>4581</v>
      </c>
      <c r="J129">
        <v>4046</v>
      </c>
      <c r="K129">
        <v>4139</v>
      </c>
      <c r="L129">
        <v>4868</v>
      </c>
      <c r="M129">
        <v>5389</v>
      </c>
      <c r="N129">
        <v>5688</v>
      </c>
      <c r="O129">
        <v>5935</v>
      </c>
      <c r="P129">
        <v>5750</v>
      </c>
      <c r="Q129">
        <v>5205</v>
      </c>
    </row>
    <row r="130" spans="1:17" x14ac:dyDescent="0.25">
      <c r="A130" s="62">
        <v>-354603</v>
      </c>
      <c r="B130" s="62">
        <v>-70257</v>
      </c>
      <c r="C130" t="s">
        <v>272</v>
      </c>
      <c r="D130" s="63" t="s">
        <v>6</v>
      </c>
      <c r="E130">
        <v>5587</v>
      </c>
      <c r="F130">
        <v>5724</v>
      </c>
      <c r="G130">
        <v>5742</v>
      </c>
      <c r="H130">
        <v>5237</v>
      </c>
      <c r="I130">
        <v>4621</v>
      </c>
      <c r="J130">
        <v>4211</v>
      </c>
      <c r="K130">
        <v>4318</v>
      </c>
      <c r="L130">
        <v>5077</v>
      </c>
      <c r="M130">
        <v>5527</v>
      </c>
      <c r="N130">
        <v>5733</v>
      </c>
      <c r="O130">
        <v>5976</v>
      </c>
      <c r="P130">
        <v>5786</v>
      </c>
      <c r="Q130">
        <v>5295</v>
      </c>
    </row>
    <row r="131" spans="1:17" x14ac:dyDescent="0.25">
      <c r="A131" s="62">
        <v>-348287</v>
      </c>
      <c r="B131" s="62">
        <v>-69877</v>
      </c>
      <c r="C131" t="s">
        <v>273</v>
      </c>
      <c r="D131" s="63" t="s">
        <v>6</v>
      </c>
      <c r="E131">
        <v>5931</v>
      </c>
      <c r="F131">
        <v>6069</v>
      </c>
      <c r="G131">
        <v>6099</v>
      </c>
      <c r="H131">
        <v>5484</v>
      </c>
      <c r="I131">
        <v>4919</v>
      </c>
      <c r="J131">
        <v>4446</v>
      </c>
      <c r="K131">
        <v>4567</v>
      </c>
      <c r="L131">
        <v>5389</v>
      </c>
      <c r="M131">
        <v>5890</v>
      </c>
      <c r="N131">
        <v>6173</v>
      </c>
      <c r="O131">
        <v>6302</v>
      </c>
      <c r="P131">
        <v>6162</v>
      </c>
      <c r="Q131">
        <v>5619</v>
      </c>
    </row>
    <row r="132" spans="1:17" x14ac:dyDescent="0.25">
      <c r="A132" s="62">
        <v>-386786</v>
      </c>
      <c r="B132" s="62">
        <v>-69189</v>
      </c>
      <c r="C132" t="s">
        <v>274</v>
      </c>
      <c r="D132" s="63" t="s">
        <v>6</v>
      </c>
      <c r="E132">
        <v>6117</v>
      </c>
      <c r="F132">
        <v>6108</v>
      </c>
      <c r="G132">
        <v>6053</v>
      </c>
      <c r="H132">
        <v>5773</v>
      </c>
      <c r="I132">
        <v>5308</v>
      </c>
      <c r="J132">
        <v>5063</v>
      </c>
      <c r="K132">
        <v>5327</v>
      </c>
      <c r="L132">
        <v>6055</v>
      </c>
      <c r="M132">
        <v>6507</v>
      </c>
      <c r="N132">
        <v>6584</v>
      </c>
      <c r="O132">
        <v>6766</v>
      </c>
      <c r="P132">
        <v>6376</v>
      </c>
      <c r="Q132">
        <v>6003</v>
      </c>
    </row>
    <row r="133" spans="1:17" x14ac:dyDescent="0.25">
      <c r="A133" s="62">
        <v>-38558</v>
      </c>
      <c r="B133" s="62">
        <v>-68805</v>
      </c>
      <c r="C133" t="s">
        <v>275</v>
      </c>
      <c r="D133" s="63" t="s">
        <v>6</v>
      </c>
      <c r="E133">
        <v>6173</v>
      </c>
      <c r="F133">
        <v>6140</v>
      </c>
      <c r="G133">
        <v>6087</v>
      </c>
      <c r="H133">
        <v>5824</v>
      </c>
      <c r="I133">
        <v>5304</v>
      </c>
      <c r="J133">
        <v>5047</v>
      </c>
      <c r="K133">
        <v>5300</v>
      </c>
      <c r="L133">
        <v>6055</v>
      </c>
      <c r="M133">
        <v>6512</v>
      </c>
      <c r="N133">
        <v>6618</v>
      </c>
      <c r="O133">
        <v>6778</v>
      </c>
      <c r="P133">
        <v>6421</v>
      </c>
      <c r="Q133">
        <v>6022</v>
      </c>
    </row>
    <row r="134" spans="1:17" x14ac:dyDescent="0.25">
      <c r="A134" s="62">
        <v>-383223</v>
      </c>
      <c r="B134" s="62">
        <v>-69118</v>
      </c>
      <c r="C134" t="s">
        <v>276</v>
      </c>
      <c r="D134" s="63" t="s">
        <v>6</v>
      </c>
      <c r="E134">
        <v>6192</v>
      </c>
      <c r="F134">
        <v>6189</v>
      </c>
      <c r="G134">
        <v>6208</v>
      </c>
      <c r="H134">
        <v>5860</v>
      </c>
      <c r="I134">
        <v>5316</v>
      </c>
      <c r="J134">
        <v>5058</v>
      </c>
      <c r="K134">
        <v>5321</v>
      </c>
      <c r="L134">
        <v>6036</v>
      </c>
      <c r="M134">
        <v>6545</v>
      </c>
      <c r="N134">
        <v>6687</v>
      </c>
      <c r="O134">
        <v>6815</v>
      </c>
      <c r="P134">
        <v>6482</v>
      </c>
      <c r="Q134">
        <v>6059</v>
      </c>
    </row>
    <row r="135" spans="1:17" x14ac:dyDescent="0.25">
      <c r="A135" s="62">
        <v>-381625</v>
      </c>
      <c r="B135" s="62">
        <v>-69369</v>
      </c>
      <c r="C135" t="s">
        <v>277</v>
      </c>
      <c r="D135" s="63" t="s">
        <v>6</v>
      </c>
      <c r="E135">
        <v>6121</v>
      </c>
      <c r="F135">
        <v>6145</v>
      </c>
      <c r="G135">
        <v>6189</v>
      </c>
      <c r="H135">
        <v>5888</v>
      </c>
      <c r="I135">
        <v>5347</v>
      </c>
      <c r="J135">
        <v>5050</v>
      </c>
      <c r="K135">
        <v>5279</v>
      </c>
      <c r="L135">
        <v>6061</v>
      </c>
      <c r="M135">
        <v>6549</v>
      </c>
      <c r="N135">
        <v>6675</v>
      </c>
      <c r="O135">
        <v>6791</v>
      </c>
      <c r="P135">
        <v>6410</v>
      </c>
      <c r="Q135">
        <v>6042</v>
      </c>
    </row>
    <row r="136" spans="1:17" x14ac:dyDescent="0.25">
      <c r="A136" s="62">
        <v>-377271</v>
      </c>
      <c r="B136" s="62">
        <v>-68904</v>
      </c>
      <c r="C136" t="s">
        <v>278</v>
      </c>
      <c r="D136" s="63" t="s">
        <v>6</v>
      </c>
      <c r="E136">
        <v>6193</v>
      </c>
      <c r="F136">
        <v>6214</v>
      </c>
      <c r="G136">
        <v>6288</v>
      </c>
      <c r="H136">
        <v>5877</v>
      </c>
      <c r="I136">
        <v>5277</v>
      </c>
      <c r="J136">
        <v>4879</v>
      </c>
      <c r="K136">
        <v>5068</v>
      </c>
      <c r="L136">
        <v>5900</v>
      </c>
      <c r="M136">
        <v>6514</v>
      </c>
      <c r="N136">
        <v>6689</v>
      </c>
      <c r="O136">
        <v>6784</v>
      </c>
      <c r="P136">
        <v>6394</v>
      </c>
      <c r="Q136">
        <v>6006</v>
      </c>
    </row>
    <row r="137" spans="1:17" x14ac:dyDescent="0.25">
      <c r="A137" s="62">
        <v>-376063</v>
      </c>
      <c r="B137" s="62">
        <v>-68987</v>
      </c>
      <c r="C137" t="s">
        <v>279</v>
      </c>
      <c r="D137" s="63" t="s">
        <v>6</v>
      </c>
      <c r="E137">
        <v>6211</v>
      </c>
      <c r="F137">
        <v>6279</v>
      </c>
      <c r="G137">
        <v>6337</v>
      </c>
      <c r="H137">
        <v>5920</v>
      </c>
      <c r="I137">
        <v>5271</v>
      </c>
      <c r="J137">
        <v>4875</v>
      </c>
      <c r="K137">
        <v>5055</v>
      </c>
      <c r="L137">
        <v>5892</v>
      </c>
      <c r="M137">
        <v>6506</v>
      </c>
      <c r="N137">
        <v>6671</v>
      </c>
      <c r="O137">
        <v>6734</v>
      </c>
      <c r="P137">
        <v>6460</v>
      </c>
      <c r="Q137">
        <v>6017</v>
      </c>
    </row>
    <row r="138" spans="1:17" x14ac:dyDescent="0.25">
      <c r="A138" s="62">
        <v>-375215</v>
      </c>
      <c r="B138" s="62">
        <v>-69047</v>
      </c>
      <c r="C138" t="s">
        <v>280</v>
      </c>
      <c r="D138" s="63" t="s">
        <v>6</v>
      </c>
      <c r="E138">
        <v>6232</v>
      </c>
      <c r="F138">
        <v>6268</v>
      </c>
      <c r="G138">
        <v>6339</v>
      </c>
      <c r="H138">
        <v>5924</v>
      </c>
      <c r="I138">
        <v>5270</v>
      </c>
      <c r="J138">
        <v>4845</v>
      </c>
      <c r="K138">
        <v>5092</v>
      </c>
      <c r="L138">
        <v>5912</v>
      </c>
      <c r="M138">
        <v>6510</v>
      </c>
      <c r="N138">
        <v>6648</v>
      </c>
      <c r="O138">
        <v>6668</v>
      </c>
      <c r="P138">
        <v>6448</v>
      </c>
      <c r="Q138">
        <v>6013</v>
      </c>
    </row>
    <row r="139" spans="1:17" x14ac:dyDescent="0.25">
      <c r="A139" s="62">
        <v>-370957</v>
      </c>
      <c r="B139" s="62">
        <v>-69243</v>
      </c>
      <c r="C139" t="s">
        <v>281</v>
      </c>
      <c r="D139" s="63" t="s">
        <v>6</v>
      </c>
      <c r="E139">
        <v>6124</v>
      </c>
      <c r="F139">
        <v>6164</v>
      </c>
      <c r="G139">
        <v>6189</v>
      </c>
      <c r="H139">
        <v>5800</v>
      </c>
      <c r="I139">
        <v>5170</v>
      </c>
      <c r="J139">
        <v>4651</v>
      </c>
      <c r="K139">
        <v>5015</v>
      </c>
      <c r="L139">
        <v>5796</v>
      </c>
      <c r="M139">
        <v>6363</v>
      </c>
      <c r="N139">
        <v>6563</v>
      </c>
      <c r="O139">
        <v>6652</v>
      </c>
      <c r="P139">
        <v>6247</v>
      </c>
      <c r="Q139">
        <v>5895</v>
      </c>
    </row>
    <row r="140" spans="1:17" x14ac:dyDescent="0.25">
      <c r="A140" s="62">
        <v>-369188</v>
      </c>
      <c r="B140" s="62">
        <v>-68697</v>
      </c>
      <c r="C140" t="s">
        <v>282</v>
      </c>
      <c r="D140" s="63" t="s">
        <v>6</v>
      </c>
      <c r="E140">
        <v>6083</v>
      </c>
      <c r="F140">
        <v>6139</v>
      </c>
      <c r="G140">
        <v>6147</v>
      </c>
      <c r="H140">
        <v>5757</v>
      </c>
      <c r="I140">
        <v>5108</v>
      </c>
      <c r="J140">
        <v>4642</v>
      </c>
      <c r="K140">
        <v>4988</v>
      </c>
      <c r="L140">
        <v>5761</v>
      </c>
      <c r="M140">
        <v>6315</v>
      </c>
      <c r="N140">
        <v>6537</v>
      </c>
      <c r="O140">
        <v>6610</v>
      </c>
      <c r="P140">
        <v>6230</v>
      </c>
      <c r="Q140">
        <v>5860</v>
      </c>
    </row>
    <row r="141" spans="1:17" x14ac:dyDescent="0.25">
      <c r="A141" s="62">
        <v>-366276</v>
      </c>
      <c r="B141" s="62">
        <v>-6939</v>
      </c>
      <c r="C141" t="s">
        <v>283</v>
      </c>
      <c r="D141" s="63" t="s">
        <v>6</v>
      </c>
      <c r="E141">
        <v>5941</v>
      </c>
      <c r="F141">
        <v>5915</v>
      </c>
      <c r="G141">
        <v>5950</v>
      </c>
      <c r="H141">
        <v>5533</v>
      </c>
      <c r="I141">
        <v>4937</v>
      </c>
      <c r="J141">
        <v>4538</v>
      </c>
      <c r="K141">
        <v>4821</v>
      </c>
      <c r="L141">
        <v>5561</v>
      </c>
      <c r="M141">
        <v>6123</v>
      </c>
      <c r="N141">
        <v>6392</v>
      </c>
      <c r="O141">
        <v>6423</v>
      </c>
      <c r="P141">
        <v>6121</v>
      </c>
      <c r="Q141">
        <v>5688</v>
      </c>
    </row>
    <row r="142" spans="1:17" x14ac:dyDescent="0.25">
      <c r="A142" s="62">
        <v>-364046</v>
      </c>
      <c r="B142" s="62">
        <v>-69338</v>
      </c>
      <c r="C142" t="s">
        <v>284</v>
      </c>
      <c r="D142" s="63" t="s">
        <v>6</v>
      </c>
      <c r="E142">
        <v>5897</v>
      </c>
      <c r="F142">
        <v>5930</v>
      </c>
      <c r="G142">
        <v>5970</v>
      </c>
      <c r="H142">
        <v>5531</v>
      </c>
      <c r="I142">
        <v>4933</v>
      </c>
      <c r="J142">
        <v>4503</v>
      </c>
      <c r="K142">
        <v>4774</v>
      </c>
      <c r="L142">
        <v>5475</v>
      </c>
      <c r="M142">
        <v>6052</v>
      </c>
      <c r="N142">
        <v>6328</v>
      </c>
      <c r="O142">
        <v>6449</v>
      </c>
      <c r="P142">
        <v>6060</v>
      </c>
      <c r="Q142">
        <v>5658</v>
      </c>
    </row>
    <row r="143" spans="1:17" x14ac:dyDescent="0.25">
      <c r="A143" s="62">
        <v>-363522</v>
      </c>
      <c r="B143" s="62">
        <v>-68649</v>
      </c>
      <c r="C143" t="s">
        <v>285</v>
      </c>
      <c r="D143" s="63" t="s">
        <v>6</v>
      </c>
      <c r="E143">
        <v>5855</v>
      </c>
      <c r="F143">
        <v>5885</v>
      </c>
      <c r="G143">
        <v>5936</v>
      </c>
      <c r="H143">
        <v>5448</v>
      </c>
      <c r="I143">
        <v>4895</v>
      </c>
      <c r="J143">
        <v>4436</v>
      </c>
      <c r="K143">
        <v>4694</v>
      </c>
      <c r="L143">
        <v>5387</v>
      </c>
      <c r="M143">
        <v>5938</v>
      </c>
      <c r="N143">
        <v>6252</v>
      </c>
      <c r="O143">
        <v>6397</v>
      </c>
      <c r="P143">
        <v>6028</v>
      </c>
      <c r="Q143">
        <v>5596</v>
      </c>
    </row>
    <row r="144" spans="1:17" x14ac:dyDescent="0.25">
      <c r="A144" s="62">
        <v>-360113</v>
      </c>
      <c r="B144" s="62">
        <v>-68995</v>
      </c>
      <c r="C144" t="s">
        <v>286</v>
      </c>
      <c r="D144" s="63" t="s">
        <v>6</v>
      </c>
      <c r="E144">
        <v>5705</v>
      </c>
      <c r="F144">
        <v>5750</v>
      </c>
      <c r="G144">
        <v>5779</v>
      </c>
      <c r="H144">
        <v>5325</v>
      </c>
      <c r="I144">
        <v>4762</v>
      </c>
      <c r="J144">
        <v>4229</v>
      </c>
      <c r="K144">
        <v>4387</v>
      </c>
      <c r="L144">
        <v>5140</v>
      </c>
      <c r="M144">
        <v>5658</v>
      </c>
      <c r="N144">
        <v>5999</v>
      </c>
      <c r="O144">
        <v>6181</v>
      </c>
      <c r="P144">
        <v>5923</v>
      </c>
      <c r="Q144">
        <v>5403</v>
      </c>
    </row>
    <row r="145" spans="1:17" x14ac:dyDescent="0.25">
      <c r="A145" s="62">
        <v>-356133</v>
      </c>
      <c r="B145" s="62">
        <v>-68687</v>
      </c>
      <c r="C145" t="s">
        <v>287</v>
      </c>
      <c r="D145" s="63" t="s">
        <v>6</v>
      </c>
      <c r="E145">
        <v>5626</v>
      </c>
      <c r="F145">
        <v>5747</v>
      </c>
      <c r="G145">
        <v>5727</v>
      </c>
      <c r="H145">
        <v>5234</v>
      </c>
      <c r="I145">
        <v>4639</v>
      </c>
      <c r="J145">
        <v>4138</v>
      </c>
      <c r="K145">
        <v>4260</v>
      </c>
      <c r="L145">
        <v>5047</v>
      </c>
      <c r="M145">
        <v>5515</v>
      </c>
      <c r="N145">
        <v>5796</v>
      </c>
      <c r="O145">
        <v>5973</v>
      </c>
      <c r="P145">
        <v>5798</v>
      </c>
      <c r="Q145">
        <v>5292</v>
      </c>
    </row>
    <row r="146" spans="1:17" x14ac:dyDescent="0.25">
      <c r="A146" s="62">
        <v>-355218</v>
      </c>
      <c r="B146" s="62">
        <v>-68914</v>
      </c>
      <c r="C146" t="s">
        <v>288</v>
      </c>
      <c r="D146" s="63" t="s">
        <v>6</v>
      </c>
      <c r="E146">
        <v>5484</v>
      </c>
      <c r="F146">
        <v>5604</v>
      </c>
      <c r="G146">
        <v>5631</v>
      </c>
      <c r="H146">
        <v>5168</v>
      </c>
      <c r="I146">
        <v>4563</v>
      </c>
      <c r="J146">
        <v>4117</v>
      </c>
      <c r="K146">
        <v>4201</v>
      </c>
      <c r="L146">
        <v>4956</v>
      </c>
      <c r="M146">
        <v>5375</v>
      </c>
      <c r="N146">
        <v>5603</v>
      </c>
      <c r="O146">
        <v>5856</v>
      </c>
      <c r="P146">
        <v>5648</v>
      </c>
      <c r="Q146">
        <v>5184</v>
      </c>
    </row>
    <row r="147" spans="1:17" x14ac:dyDescent="0.25">
      <c r="A147" s="62">
        <v>-355338</v>
      </c>
      <c r="B147" s="62">
        <v>-69474</v>
      </c>
      <c r="C147" t="s">
        <v>289</v>
      </c>
      <c r="D147" s="63" t="s">
        <v>6</v>
      </c>
      <c r="E147">
        <v>5484</v>
      </c>
      <c r="F147">
        <v>5604</v>
      </c>
      <c r="G147">
        <v>5631</v>
      </c>
      <c r="H147">
        <v>5168</v>
      </c>
      <c r="I147">
        <v>4563</v>
      </c>
      <c r="J147">
        <v>4117</v>
      </c>
      <c r="K147">
        <v>4201</v>
      </c>
      <c r="L147">
        <v>4956</v>
      </c>
      <c r="M147">
        <v>5375</v>
      </c>
      <c r="N147">
        <v>5603</v>
      </c>
      <c r="O147">
        <v>5856</v>
      </c>
      <c r="P147">
        <v>5648</v>
      </c>
      <c r="Q147">
        <v>5184</v>
      </c>
    </row>
    <row r="148" spans="1:17" x14ac:dyDescent="0.25">
      <c r="A148" s="62">
        <v>-354853</v>
      </c>
      <c r="B148" s="62">
        <v>-68511</v>
      </c>
      <c r="C148" t="s">
        <v>290</v>
      </c>
      <c r="D148" s="63" t="s">
        <v>6</v>
      </c>
      <c r="E148">
        <v>5509</v>
      </c>
      <c r="F148">
        <v>5641</v>
      </c>
      <c r="G148">
        <v>5698</v>
      </c>
      <c r="H148">
        <v>5221</v>
      </c>
      <c r="I148">
        <v>4592</v>
      </c>
      <c r="J148">
        <v>4185</v>
      </c>
      <c r="K148">
        <v>4258</v>
      </c>
      <c r="L148">
        <v>5015</v>
      </c>
      <c r="M148">
        <v>5424</v>
      </c>
      <c r="N148">
        <v>5701</v>
      </c>
      <c r="O148">
        <v>5906</v>
      </c>
      <c r="P148">
        <v>5745</v>
      </c>
      <c r="Q148">
        <v>5241</v>
      </c>
    </row>
    <row r="149" spans="1:17" x14ac:dyDescent="0.25">
      <c r="A149" s="62">
        <v>-353793</v>
      </c>
      <c r="B149" s="62">
        <v>-68521</v>
      </c>
      <c r="C149" t="s">
        <v>291</v>
      </c>
      <c r="D149" s="63" t="s">
        <v>6</v>
      </c>
      <c r="E149">
        <v>5642</v>
      </c>
      <c r="F149">
        <v>5687</v>
      </c>
      <c r="G149">
        <v>5818</v>
      </c>
      <c r="H149">
        <v>5322</v>
      </c>
      <c r="I149">
        <v>4703</v>
      </c>
      <c r="J149">
        <v>4220</v>
      </c>
      <c r="K149">
        <v>4358</v>
      </c>
      <c r="L149">
        <v>5085</v>
      </c>
      <c r="M149">
        <v>5524</v>
      </c>
      <c r="N149">
        <v>5814</v>
      </c>
      <c r="O149">
        <v>6062</v>
      </c>
      <c r="P149">
        <v>5902</v>
      </c>
      <c r="Q149">
        <v>5345</v>
      </c>
    </row>
    <row r="150" spans="1:17" x14ac:dyDescent="0.25">
      <c r="A150" s="62">
        <v>-352505</v>
      </c>
      <c r="B150" s="62">
        <v>-69133</v>
      </c>
      <c r="C150" t="s">
        <v>292</v>
      </c>
      <c r="D150" s="63" t="s">
        <v>6</v>
      </c>
      <c r="E150">
        <v>5712</v>
      </c>
      <c r="F150">
        <v>5733</v>
      </c>
      <c r="G150">
        <v>5851</v>
      </c>
      <c r="H150">
        <v>5296</v>
      </c>
      <c r="I150">
        <v>4680</v>
      </c>
      <c r="J150">
        <v>4271</v>
      </c>
      <c r="K150">
        <v>4366</v>
      </c>
      <c r="L150">
        <v>5138</v>
      </c>
      <c r="M150">
        <v>5547</v>
      </c>
      <c r="N150">
        <v>5807</v>
      </c>
      <c r="O150">
        <v>6135</v>
      </c>
      <c r="P150">
        <v>5968</v>
      </c>
      <c r="Q150">
        <v>5375</v>
      </c>
    </row>
    <row r="151" spans="1:17" x14ac:dyDescent="0.25">
      <c r="A151" s="62">
        <v>-351669</v>
      </c>
      <c r="B151" s="62">
        <v>-69202</v>
      </c>
      <c r="C151" t="s">
        <v>293</v>
      </c>
      <c r="D151" s="63" t="s">
        <v>6</v>
      </c>
      <c r="E151">
        <v>5780</v>
      </c>
      <c r="F151">
        <v>5802</v>
      </c>
      <c r="G151">
        <v>5917</v>
      </c>
      <c r="H151">
        <v>5303</v>
      </c>
      <c r="I151">
        <v>4688</v>
      </c>
      <c r="J151">
        <v>4296</v>
      </c>
      <c r="K151">
        <v>4362</v>
      </c>
      <c r="L151">
        <v>5136</v>
      </c>
      <c r="M151">
        <v>5574</v>
      </c>
      <c r="N151">
        <v>5860</v>
      </c>
      <c r="O151">
        <v>6216</v>
      </c>
      <c r="P151">
        <v>6058</v>
      </c>
      <c r="Q151">
        <v>5416</v>
      </c>
    </row>
    <row r="152" spans="1:17" x14ac:dyDescent="0.25">
      <c r="A152" s="62">
        <v>-348764</v>
      </c>
      <c r="B152" s="62">
        <v>-69002</v>
      </c>
      <c r="C152" t="s">
        <v>294</v>
      </c>
      <c r="D152" s="63" t="s">
        <v>6</v>
      </c>
      <c r="E152">
        <v>6034</v>
      </c>
      <c r="F152">
        <v>6181</v>
      </c>
      <c r="G152">
        <v>6190</v>
      </c>
      <c r="H152">
        <v>5562</v>
      </c>
      <c r="I152">
        <v>5007</v>
      </c>
      <c r="J152">
        <v>4528</v>
      </c>
      <c r="K152">
        <v>4650</v>
      </c>
      <c r="L152">
        <v>5534</v>
      </c>
      <c r="M152">
        <v>5989</v>
      </c>
      <c r="N152">
        <v>6291</v>
      </c>
      <c r="O152">
        <v>6467</v>
      </c>
      <c r="P152">
        <v>6331</v>
      </c>
      <c r="Q152">
        <v>5730</v>
      </c>
    </row>
    <row r="153" spans="1:17" x14ac:dyDescent="0.25">
      <c r="A153" s="62">
        <v>-386457</v>
      </c>
      <c r="B153" s="62">
        <v>-68164</v>
      </c>
      <c r="C153" t="s">
        <v>295</v>
      </c>
      <c r="D153" s="63" t="s">
        <v>6</v>
      </c>
      <c r="E153">
        <v>6084</v>
      </c>
      <c r="F153">
        <v>6083</v>
      </c>
      <c r="G153">
        <v>6054</v>
      </c>
      <c r="H153">
        <v>5766</v>
      </c>
      <c r="I153">
        <v>5289</v>
      </c>
      <c r="J153">
        <v>5069</v>
      </c>
      <c r="K153">
        <v>5352</v>
      </c>
      <c r="L153">
        <v>6064</v>
      </c>
      <c r="M153">
        <v>6492</v>
      </c>
      <c r="N153">
        <v>6580</v>
      </c>
      <c r="O153">
        <v>6745</v>
      </c>
      <c r="P153">
        <v>6366</v>
      </c>
      <c r="Q153">
        <v>5995</v>
      </c>
    </row>
    <row r="154" spans="1:17" x14ac:dyDescent="0.25">
      <c r="A154" s="62">
        <v>-383486</v>
      </c>
      <c r="B154" s="62">
        <v>-68458</v>
      </c>
      <c r="C154" t="s">
        <v>296</v>
      </c>
      <c r="D154" s="63" t="s">
        <v>6</v>
      </c>
      <c r="E154">
        <v>6190</v>
      </c>
      <c r="F154">
        <v>6149</v>
      </c>
      <c r="G154">
        <v>6190</v>
      </c>
      <c r="H154">
        <v>5828</v>
      </c>
      <c r="I154">
        <v>5302</v>
      </c>
      <c r="J154">
        <v>5047</v>
      </c>
      <c r="K154">
        <v>5308</v>
      </c>
      <c r="L154">
        <v>6051</v>
      </c>
      <c r="M154">
        <v>6512</v>
      </c>
      <c r="N154">
        <v>6676</v>
      </c>
      <c r="O154">
        <v>6819</v>
      </c>
      <c r="P154">
        <v>6472</v>
      </c>
      <c r="Q154">
        <v>6046</v>
      </c>
    </row>
    <row r="155" spans="1:17" x14ac:dyDescent="0.25">
      <c r="A155" s="62">
        <v>-38228</v>
      </c>
      <c r="B155" s="62">
        <v>-67593</v>
      </c>
      <c r="C155" t="s">
        <v>297</v>
      </c>
      <c r="D155" s="63" t="s">
        <v>6</v>
      </c>
      <c r="E155">
        <v>6195</v>
      </c>
      <c r="F155">
        <v>6188</v>
      </c>
      <c r="G155">
        <v>6201</v>
      </c>
      <c r="H155">
        <v>5874</v>
      </c>
      <c r="I155">
        <v>5331</v>
      </c>
      <c r="J155">
        <v>5045</v>
      </c>
      <c r="K155">
        <v>5292</v>
      </c>
      <c r="L155">
        <v>6036</v>
      </c>
      <c r="M155">
        <v>6496</v>
      </c>
      <c r="N155">
        <v>6691</v>
      </c>
      <c r="O155">
        <v>6834</v>
      </c>
      <c r="P155">
        <v>6434</v>
      </c>
      <c r="Q155">
        <v>6052</v>
      </c>
    </row>
    <row r="156" spans="1:17" x14ac:dyDescent="0.25">
      <c r="A156" s="62">
        <v>-380806</v>
      </c>
      <c r="B156" s="62">
        <v>-67851</v>
      </c>
      <c r="C156" t="s">
        <v>298</v>
      </c>
      <c r="D156" s="63" t="s">
        <v>6</v>
      </c>
      <c r="E156">
        <v>6101</v>
      </c>
      <c r="F156">
        <v>6125</v>
      </c>
      <c r="G156">
        <v>6226</v>
      </c>
      <c r="H156">
        <v>5882</v>
      </c>
      <c r="I156">
        <v>5307</v>
      </c>
      <c r="J156">
        <v>4995</v>
      </c>
      <c r="K156">
        <v>5210</v>
      </c>
      <c r="L156">
        <v>6019</v>
      </c>
      <c r="M156">
        <v>6517</v>
      </c>
      <c r="N156">
        <v>6660</v>
      </c>
      <c r="O156">
        <v>6809</v>
      </c>
      <c r="P156">
        <v>6399</v>
      </c>
      <c r="Q156">
        <v>6021</v>
      </c>
    </row>
    <row r="157" spans="1:17" x14ac:dyDescent="0.25">
      <c r="A157" s="62">
        <v>-379426</v>
      </c>
      <c r="B157" s="62">
        <v>-68161</v>
      </c>
      <c r="C157" t="s">
        <v>299</v>
      </c>
      <c r="D157" s="63" t="s">
        <v>6</v>
      </c>
      <c r="E157">
        <v>6131</v>
      </c>
      <c r="F157">
        <v>6104</v>
      </c>
      <c r="G157">
        <v>6186</v>
      </c>
      <c r="H157">
        <v>5833</v>
      </c>
      <c r="I157">
        <v>5304</v>
      </c>
      <c r="J157">
        <v>4920</v>
      </c>
      <c r="K157">
        <v>5192</v>
      </c>
      <c r="L157">
        <v>5931</v>
      </c>
      <c r="M157">
        <v>6508</v>
      </c>
      <c r="N157">
        <v>6689</v>
      </c>
      <c r="O157">
        <v>6843</v>
      </c>
      <c r="P157">
        <v>6372</v>
      </c>
      <c r="Q157">
        <v>6001</v>
      </c>
    </row>
    <row r="158" spans="1:17" x14ac:dyDescent="0.25">
      <c r="A158" s="62">
        <v>-378006</v>
      </c>
      <c r="B158" s="62">
        <v>-67665</v>
      </c>
      <c r="C158" t="s">
        <v>300</v>
      </c>
      <c r="D158" s="63" t="s">
        <v>6</v>
      </c>
      <c r="E158">
        <v>6168</v>
      </c>
      <c r="F158">
        <v>6161</v>
      </c>
      <c r="G158">
        <v>6247</v>
      </c>
      <c r="H158">
        <v>5856</v>
      </c>
      <c r="I158">
        <v>5296</v>
      </c>
      <c r="J158">
        <v>4908</v>
      </c>
      <c r="K158">
        <v>5152</v>
      </c>
      <c r="L158">
        <v>5924</v>
      </c>
      <c r="M158">
        <v>6529</v>
      </c>
      <c r="N158">
        <v>6699</v>
      </c>
      <c r="O158">
        <v>6796</v>
      </c>
      <c r="P158">
        <v>6368</v>
      </c>
      <c r="Q158">
        <v>6009</v>
      </c>
    </row>
    <row r="159" spans="1:17" x14ac:dyDescent="0.25">
      <c r="A159" s="62">
        <v>-373217</v>
      </c>
      <c r="B159" s="62">
        <v>-68402</v>
      </c>
      <c r="C159" t="s">
        <v>301</v>
      </c>
      <c r="D159" s="63" t="s">
        <v>6</v>
      </c>
      <c r="E159">
        <v>6102</v>
      </c>
      <c r="F159">
        <v>6203</v>
      </c>
      <c r="G159">
        <v>6230</v>
      </c>
      <c r="H159">
        <v>5885</v>
      </c>
      <c r="I159">
        <v>5232</v>
      </c>
      <c r="J159">
        <v>4779</v>
      </c>
      <c r="K159">
        <v>5085</v>
      </c>
      <c r="L159">
        <v>5860</v>
      </c>
      <c r="M159">
        <v>6396</v>
      </c>
      <c r="N159">
        <v>6582</v>
      </c>
      <c r="O159">
        <v>6636</v>
      </c>
      <c r="P159">
        <v>6344</v>
      </c>
      <c r="Q159">
        <v>5944</v>
      </c>
    </row>
    <row r="160" spans="1:17" x14ac:dyDescent="0.25">
      <c r="A160" s="62">
        <v>-369925</v>
      </c>
      <c r="B160" s="62">
        <v>-67709</v>
      </c>
      <c r="C160" t="s">
        <v>302</v>
      </c>
      <c r="D160" s="63" t="s">
        <v>6</v>
      </c>
      <c r="E160">
        <v>6090</v>
      </c>
      <c r="F160">
        <v>6147</v>
      </c>
      <c r="G160">
        <v>6238</v>
      </c>
      <c r="H160">
        <v>5793</v>
      </c>
      <c r="I160">
        <v>5156</v>
      </c>
      <c r="J160">
        <v>4664</v>
      </c>
      <c r="K160">
        <v>5007</v>
      </c>
      <c r="L160">
        <v>5784</v>
      </c>
      <c r="M160">
        <v>6318</v>
      </c>
      <c r="N160">
        <v>6526</v>
      </c>
      <c r="O160">
        <v>6601</v>
      </c>
      <c r="P160">
        <v>6248</v>
      </c>
      <c r="Q160">
        <v>5881</v>
      </c>
    </row>
    <row r="161" spans="1:17" x14ac:dyDescent="0.25">
      <c r="A161" s="62">
        <v>-367983</v>
      </c>
      <c r="B161" s="62">
        <v>-67741</v>
      </c>
      <c r="C161" t="s">
        <v>303</v>
      </c>
      <c r="D161" s="63" t="s">
        <v>6</v>
      </c>
      <c r="E161">
        <v>6037</v>
      </c>
      <c r="F161">
        <v>6052</v>
      </c>
      <c r="G161">
        <v>6109</v>
      </c>
      <c r="H161">
        <v>5683</v>
      </c>
      <c r="I161">
        <v>5068</v>
      </c>
      <c r="J161">
        <v>4643</v>
      </c>
      <c r="K161">
        <v>4939</v>
      </c>
      <c r="L161">
        <v>5728</v>
      </c>
      <c r="M161">
        <v>6267</v>
      </c>
      <c r="N161">
        <v>6449</v>
      </c>
      <c r="O161">
        <v>6482</v>
      </c>
      <c r="P161">
        <v>6206</v>
      </c>
      <c r="Q161">
        <v>5805</v>
      </c>
    </row>
    <row r="162" spans="1:17" x14ac:dyDescent="0.25">
      <c r="A162" s="62">
        <v>-364683</v>
      </c>
      <c r="B162" s="62">
        <v>-6756</v>
      </c>
      <c r="C162" t="s">
        <v>304</v>
      </c>
      <c r="D162" s="63" t="s">
        <v>6</v>
      </c>
      <c r="E162">
        <v>5910</v>
      </c>
      <c r="F162">
        <v>5884</v>
      </c>
      <c r="G162">
        <v>5931</v>
      </c>
      <c r="H162">
        <v>5522</v>
      </c>
      <c r="I162">
        <v>4920</v>
      </c>
      <c r="J162">
        <v>4491</v>
      </c>
      <c r="K162">
        <v>4762</v>
      </c>
      <c r="L162">
        <v>5472</v>
      </c>
      <c r="M162">
        <v>6045</v>
      </c>
      <c r="N162">
        <v>6359</v>
      </c>
      <c r="O162">
        <v>6477</v>
      </c>
      <c r="P162">
        <v>6091</v>
      </c>
      <c r="Q162">
        <v>5655</v>
      </c>
    </row>
    <row r="163" spans="1:17" x14ac:dyDescent="0.25">
      <c r="A163" s="62">
        <v>-362474</v>
      </c>
      <c r="B163" s="62">
        <v>-67663</v>
      </c>
      <c r="C163" t="s">
        <v>305</v>
      </c>
      <c r="D163" s="63" t="s">
        <v>6</v>
      </c>
      <c r="E163">
        <v>5838</v>
      </c>
      <c r="F163">
        <v>5751</v>
      </c>
      <c r="G163">
        <v>5795</v>
      </c>
      <c r="H163">
        <v>5369</v>
      </c>
      <c r="I163">
        <v>4800</v>
      </c>
      <c r="J163">
        <v>4335</v>
      </c>
      <c r="K163">
        <v>4547</v>
      </c>
      <c r="L163">
        <v>5268</v>
      </c>
      <c r="M163">
        <v>5820</v>
      </c>
      <c r="N163">
        <v>6146</v>
      </c>
      <c r="O163">
        <v>6295</v>
      </c>
      <c r="P163">
        <v>5982</v>
      </c>
      <c r="Q163">
        <v>5496</v>
      </c>
    </row>
    <row r="164" spans="1:17" x14ac:dyDescent="0.25">
      <c r="A164" s="62">
        <v>-358182</v>
      </c>
      <c r="B164" t="s">
        <v>306</v>
      </c>
      <c r="C164" t="s">
        <v>307</v>
      </c>
      <c r="D164" s="63" t="s">
        <v>6</v>
      </c>
      <c r="E164">
        <v>5783</v>
      </c>
      <c r="F164">
        <v>5783</v>
      </c>
      <c r="G164">
        <v>5869</v>
      </c>
      <c r="H164">
        <v>5344</v>
      </c>
      <c r="I164">
        <v>4772</v>
      </c>
      <c r="J164">
        <v>4315</v>
      </c>
      <c r="K164">
        <v>4476</v>
      </c>
      <c r="L164">
        <v>5222</v>
      </c>
      <c r="M164">
        <v>5681</v>
      </c>
      <c r="N164">
        <v>5940</v>
      </c>
      <c r="O164">
        <v>6164</v>
      </c>
      <c r="P164">
        <v>5914</v>
      </c>
      <c r="Q164">
        <v>5439</v>
      </c>
    </row>
    <row r="165" spans="1:17" x14ac:dyDescent="0.25">
      <c r="A165" s="62">
        <v>-357555</v>
      </c>
      <c r="B165" s="62">
        <v>-68285</v>
      </c>
      <c r="C165" t="s">
        <v>308</v>
      </c>
      <c r="D165" s="63" t="s">
        <v>6</v>
      </c>
      <c r="E165">
        <v>5757</v>
      </c>
      <c r="F165">
        <v>5801</v>
      </c>
      <c r="G165">
        <v>5899</v>
      </c>
      <c r="H165">
        <v>5337</v>
      </c>
      <c r="I165">
        <v>4779</v>
      </c>
      <c r="J165">
        <v>4290</v>
      </c>
      <c r="K165">
        <v>4476</v>
      </c>
      <c r="L165">
        <v>5243</v>
      </c>
      <c r="M165">
        <v>5688</v>
      </c>
      <c r="N165">
        <v>5880</v>
      </c>
      <c r="O165">
        <v>6143</v>
      </c>
      <c r="P165">
        <v>5887</v>
      </c>
      <c r="Q165">
        <v>5431</v>
      </c>
    </row>
    <row r="166" spans="1:17" x14ac:dyDescent="0.25">
      <c r="A166" s="62">
        <v>-356587</v>
      </c>
      <c r="B166" s="62">
        <v>-67605</v>
      </c>
      <c r="C166" t="s">
        <v>309</v>
      </c>
      <c r="D166" s="63" t="s">
        <v>6</v>
      </c>
      <c r="E166">
        <v>5669</v>
      </c>
      <c r="F166">
        <v>5790</v>
      </c>
      <c r="G166">
        <v>5802</v>
      </c>
      <c r="H166">
        <v>5290</v>
      </c>
      <c r="I166">
        <v>4698</v>
      </c>
      <c r="J166">
        <v>4194</v>
      </c>
      <c r="K166">
        <v>4325</v>
      </c>
      <c r="L166">
        <v>5118</v>
      </c>
      <c r="M166">
        <v>5598</v>
      </c>
      <c r="N166">
        <v>5838</v>
      </c>
      <c r="O166">
        <v>6043</v>
      </c>
      <c r="P166">
        <v>5855</v>
      </c>
      <c r="Q166">
        <v>5352</v>
      </c>
    </row>
    <row r="167" spans="1:17" x14ac:dyDescent="0.25">
      <c r="A167" s="62">
        <v>-35619</v>
      </c>
      <c r="B167" s="62">
        <v>-68024</v>
      </c>
      <c r="C167" t="s">
        <v>310</v>
      </c>
      <c r="D167" s="63" t="s">
        <v>6</v>
      </c>
      <c r="E167">
        <v>5669</v>
      </c>
      <c r="F167">
        <v>5790</v>
      </c>
      <c r="G167">
        <v>5802</v>
      </c>
      <c r="H167">
        <v>5290</v>
      </c>
      <c r="I167">
        <v>4698</v>
      </c>
      <c r="J167">
        <v>4194</v>
      </c>
      <c r="K167">
        <v>4325</v>
      </c>
      <c r="L167">
        <v>5118</v>
      </c>
      <c r="M167">
        <v>5598</v>
      </c>
      <c r="N167">
        <v>5838</v>
      </c>
      <c r="O167">
        <v>6043</v>
      </c>
      <c r="P167">
        <v>5855</v>
      </c>
      <c r="Q167">
        <v>5352</v>
      </c>
    </row>
    <row r="168" spans="1:17" x14ac:dyDescent="0.25">
      <c r="A168" s="62">
        <v>-356281</v>
      </c>
      <c r="B168" s="62">
        <v>-68156</v>
      </c>
      <c r="C168" t="s">
        <v>311</v>
      </c>
      <c r="D168" s="63" t="s">
        <v>6</v>
      </c>
      <c r="E168">
        <v>5669</v>
      </c>
      <c r="F168">
        <v>5790</v>
      </c>
      <c r="G168">
        <v>5802</v>
      </c>
      <c r="H168">
        <v>5290</v>
      </c>
      <c r="I168">
        <v>4698</v>
      </c>
      <c r="J168">
        <v>4194</v>
      </c>
      <c r="K168">
        <v>4325</v>
      </c>
      <c r="L168">
        <v>5118</v>
      </c>
      <c r="M168">
        <v>5598</v>
      </c>
      <c r="N168">
        <v>5838</v>
      </c>
      <c r="O168">
        <v>6043</v>
      </c>
      <c r="P168">
        <v>5855</v>
      </c>
      <c r="Q168">
        <v>5352</v>
      </c>
    </row>
    <row r="169" spans="1:17" x14ac:dyDescent="0.25">
      <c r="A169" s="62">
        <v>-355292</v>
      </c>
      <c r="B169" s="62">
        <v>-68425</v>
      </c>
      <c r="C169" t="s">
        <v>312</v>
      </c>
      <c r="D169" s="63" t="s">
        <v>6</v>
      </c>
      <c r="E169">
        <v>5505</v>
      </c>
      <c r="F169">
        <v>5593</v>
      </c>
      <c r="G169">
        <v>5650</v>
      </c>
      <c r="H169">
        <v>5171</v>
      </c>
      <c r="I169">
        <v>4609</v>
      </c>
      <c r="J169">
        <v>4150</v>
      </c>
      <c r="K169">
        <v>4231</v>
      </c>
      <c r="L169">
        <v>4994</v>
      </c>
      <c r="M169">
        <v>5440</v>
      </c>
      <c r="N169">
        <v>5669</v>
      </c>
      <c r="O169">
        <v>5872</v>
      </c>
      <c r="P169">
        <v>5632</v>
      </c>
      <c r="Q169">
        <v>5210</v>
      </c>
    </row>
    <row r="170" spans="1:17" x14ac:dyDescent="0.25">
      <c r="A170" s="62">
        <v>-354375</v>
      </c>
      <c r="B170" s="62">
        <v>-67517</v>
      </c>
      <c r="C170" t="s">
        <v>313</v>
      </c>
      <c r="D170" s="63" t="s">
        <v>6</v>
      </c>
      <c r="E170">
        <v>5543</v>
      </c>
      <c r="F170">
        <v>5596</v>
      </c>
      <c r="G170">
        <v>5688</v>
      </c>
      <c r="H170">
        <v>5216</v>
      </c>
      <c r="I170">
        <v>4636</v>
      </c>
      <c r="J170">
        <v>4192</v>
      </c>
      <c r="K170">
        <v>4279</v>
      </c>
      <c r="L170">
        <v>5027</v>
      </c>
      <c r="M170">
        <v>5484</v>
      </c>
      <c r="N170">
        <v>5758</v>
      </c>
      <c r="O170">
        <v>6000</v>
      </c>
      <c r="P170">
        <v>5743</v>
      </c>
      <c r="Q170">
        <v>5263</v>
      </c>
    </row>
    <row r="171" spans="1:17" x14ac:dyDescent="0.25">
      <c r="A171" s="62">
        <v>-354911</v>
      </c>
      <c r="B171" t="s">
        <v>306</v>
      </c>
      <c r="C171" t="s">
        <v>314</v>
      </c>
      <c r="D171" s="63" t="s">
        <v>6</v>
      </c>
      <c r="E171">
        <v>5543</v>
      </c>
      <c r="F171">
        <v>5596</v>
      </c>
      <c r="G171">
        <v>5688</v>
      </c>
      <c r="H171">
        <v>5216</v>
      </c>
      <c r="I171">
        <v>4636</v>
      </c>
      <c r="J171">
        <v>4192</v>
      </c>
      <c r="K171">
        <v>4279</v>
      </c>
      <c r="L171">
        <v>5027</v>
      </c>
      <c r="M171">
        <v>5484</v>
      </c>
      <c r="N171">
        <v>5758</v>
      </c>
      <c r="O171">
        <v>6000</v>
      </c>
      <c r="P171">
        <v>5743</v>
      </c>
      <c r="Q171">
        <v>5263</v>
      </c>
    </row>
    <row r="172" spans="1:17" x14ac:dyDescent="0.25">
      <c r="A172" s="62">
        <v>-352463</v>
      </c>
      <c r="B172" s="62">
        <v>-68289</v>
      </c>
      <c r="C172" t="s">
        <v>315</v>
      </c>
      <c r="D172" s="63" t="s">
        <v>6</v>
      </c>
      <c r="E172">
        <v>5778</v>
      </c>
      <c r="F172">
        <v>5816</v>
      </c>
      <c r="G172">
        <v>5949</v>
      </c>
      <c r="H172">
        <v>5332</v>
      </c>
      <c r="I172">
        <v>4687</v>
      </c>
      <c r="J172">
        <v>4250</v>
      </c>
      <c r="K172">
        <v>4336</v>
      </c>
      <c r="L172">
        <v>5107</v>
      </c>
      <c r="M172">
        <v>5571</v>
      </c>
      <c r="N172">
        <v>5902</v>
      </c>
      <c r="O172">
        <v>6219</v>
      </c>
      <c r="P172">
        <v>6070</v>
      </c>
      <c r="Q172">
        <v>5418</v>
      </c>
    </row>
    <row r="173" spans="1:17" x14ac:dyDescent="0.25">
      <c r="A173" s="62">
        <v>-351216</v>
      </c>
      <c r="B173" s="62">
        <v>-68341</v>
      </c>
      <c r="C173" t="s">
        <v>316</v>
      </c>
      <c r="D173" s="63" t="s">
        <v>6</v>
      </c>
      <c r="E173">
        <v>5822</v>
      </c>
      <c r="F173">
        <v>5854</v>
      </c>
      <c r="G173">
        <v>5991</v>
      </c>
      <c r="H173">
        <v>5341</v>
      </c>
      <c r="I173">
        <v>4688</v>
      </c>
      <c r="J173">
        <v>4244</v>
      </c>
      <c r="K173">
        <v>4321</v>
      </c>
      <c r="L173">
        <v>5115</v>
      </c>
      <c r="M173">
        <v>5586</v>
      </c>
      <c r="N173">
        <v>5906</v>
      </c>
      <c r="O173">
        <v>6223</v>
      </c>
      <c r="P173">
        <v>6089</v>
      </c>
      <c r="Q173">
        <v>5432</v>
      </c>
    </row>
    <row r="174" spans="1:17" x14ac:dyDescent="0.25">
      <c r="A174" s="62">
        <v>-350089</v>
      </c>
      <c r="B174" s="62">
        <v>-67658</v>
      </c>
      <c r="C174" t="s">
        <v>317</v>
      </c>
      <c r="D174" s="63" t="s">
        <v>6</v>
      </c>
      <c r="E174">
        <v>5860</v>
      </c>
      <c r="F174">
        <v>5965</v>
      </c>
      <c r="G174">
        <v>6069</v>
      </c>
      <c r="H174">
        <v>5368</v>
      </c>
      <c r="I174">
        <v>4758</v>
      </c>
      <c r="J174">
        <v>4291</v>
      </c>
      <c r="K174">
        <v>4341</v>
      </c>
      <c r="L174">
        <v>5185</v>
      </c>
      <c r="M174">
        <v>5612</v>
      </c>
      <c r="N174">
        <v>5937</v>
      </c>
      <c r="O174">
        <v>6205</v>
      </c>
      <c r="P174">
        <v>6078</v>
      </c>
      <c r="Q174">
        <v>5472</v>
      </c>
    </row>
    <row r="175" spans="1:17" x14ac:dyDescent="0.25">
      <c r="A175" s="62">
        <v>-350779</v>
      </c>
      <c r="B175" s="62">
        <v>-68042</v>
      </c>
      <c r="C175" t="s">
        <v>318</v>
      </c>
      <c r="D175" s="63" t="s">
        <v>6</v>
      </c>
      <c r="E175">
        <v>5860</v>
      </c>
      <c r="F175">
        <v>5965</v>
      </c>
      <c r="G175">
        <v>6069</v>
      </c>
      <c r="H175">
        <v>5368</v>
      </c>
      <c r="I175">
        <v>4758</v>
      </c>
      <c r="J175">
        <v>4291</v>
      </c>
      <c r="K175">
        <v>4341</v>
      </c>
      <c r="L175">
        <v>5185</v>
      </c>
      <c r="M175">
        <v>5612</v>
      </c>
      <c r="N175">
        <v>5937</v>
      </c>
      <c r="O175">
        <v>6205</v>
      </c>
      <c r="P175">
        <v>6078</v>
      </c>
      <c r="Q175">
        <v>5472</v>
      </c>
    </row>
    <row r="176" spans="1:17" x14ac:dyDescent="0.25">
      <c r="A176" s="62">
        <v>-38643</v>
      </c>
      <c r="B176" s="62">
        <v>-6718</v>
      </c>
      <c r="C176" t="s">
        <v>319</v>
      </c>
      <c r="D176" s="63" t="s">
        <v>6</v>
      </c>
      <c r="E176">
        <v>6111</v>
      </c>
      <c r="F176">
        <v>6077</v>
      </c>
      <c r="G176">
        <v>6080</v>
      </c>
      <c r="H176">
        <v>5744</v>
      </c>
      <c r="I176">
        <v>5248</v>
      </c>
      <c r="J176">
        <v>5052</v>
      </c>
      <c r="K176">
        <v>5380</v>
      </c>
      <c r="L176">
        <v>6050</v>
      </c>
      <c r="M176">
        <v>6451</v>
      </c>
      <c r="N176">
        <v>6602</v>
      </c>
      <c r="O176">
        <v>6747</v>
      </c>
      <c r="P176">
        <v>6337</v>
      </c>
      <c r="Q176">
        <v>5990</v>
      </c>
    </row>
    <row r="177" spans="1:17" x14ac:dyDescent="0.25">
      <c r="A177" s="62">
        <v>-384555</v>
      </c>
      <c r="B177" s="62">
        <v>-67216</v>
      </c>
      <c r="C177" t="s">
        <v>320</v>
      </c>
      <c r="D177" s="63" t="s">
        <v>6</v>
      </c>
      <c r="E177">
        <v>6182</v>
      </c>
      <c r="F177">
        <v>6087</v>
      </c>
      <c r="G177">
        <v>6069</v>
      </c>
      <c r="H177">
        <v>5795</v>
      </c>
      <c r="I177">
        <v>5233</v>
      </c>
      <c r="J177">
        <v>5009</v>
      </c>
      <c r="K177">
        <v>5315</v>
      </c>
      <c r="L177">
        <v>6045</v>
      </c>
      <c r="M177">
        <v>6430</v>
      </c>
      <c r="N177">
        <v>6631</v>
      </c>
      <c r="O177">
        <v>6756</v>
      </c>
      <c r="P177">
        <v>6362</v>
      </c>
      <c r="Q177">
        <v>5993</v>
      </c>
    </row>
    <row r="178" spans="1:17" x14ac:dyDescent="0.25">
      <c r="A178" s="62">
        <v>-375687</v>
      </c>
      <c r="B178" s="62">
        <v>-67385</v>
      </c>
      <c r="C178" t="s">
        <v>321</v>
      </c>
      <c r="D178" s="63" t="s">
        <v>6</v>
      </c>
      <c r="E178">
        <v>6075</v>
      </c>
      <c r="F178">
        <v>6219</v>
      </c>
      <c r="G178">
        <v>6284</v>
      </c>
      <c r="H178">
        <v>5881</v>
      </c>
      <c r="I178">
        <v>5306</v>
      </c>
      <c r="J178">
        <v>4834</v>
      </c>
      <c r="K178">
        <v>5145</v>
      </c>
      <c r="L178">
        <v>5903</v>
      </c>
      <c r="M178">
        <v>6441</v>
      </c>
      <c r="N178">
        <v>6602</v>
      </c>
      <c r="O178">
        <v>6661</v>
      </c>
      <c r="P178">
        <v>6316</v>
      </c>
      <c r="Q178">
        <v>5972</v>
      </c>
    </row>
    <row r="179" spans="1:17" x14ac:dyDescent="0.25">
      <c r="A179" s="62">
        <v>-364198</v>
      </c>
      <c r="B179" s="62">
        <v>-66789</v>
      </c>
      <c r="C179" t="s">
        <v>322</v>
      </c>
      <c r="D179" s="63" t="s">
        <v>6</v>
      </c>
      <c r="E179">
        <v>5986</v>
      </c>
      <c r="F179">
        <v>5911</v>
      </c>
      <c r="G179">
        <v>5896</v>
      </c>
      <c r="H179">
        <v>5533</v>
      </c>
      <c r="I179">
        <v>4941</v>
      </c>
      <c r="J179">
        <v>4492</v>
      </c>
      <c r="K179">
        <v>4775</v>
      </c>
      <c r="L179">
        <v>5511</v>
      </c>
      <c r="M179">
        <v>6067</v>
      </c>
      <c r="N179">
        <v>6428</v>
      </c>
      <c r="O179">
        <v>6496</v>
      </c>
      <c r="P179">
        <v>6128</v>
      </c>
      <c r="Q179">
        <v>5680</v>
      </c>
    </row>
    <row r="180" spans="1:17" x14ac:dyDescent="0.25">
      <c r="A180" s="62">
        <v>-360674</v>
      </c>
      <c r="B180" s="62">
        <v>-67186</v>
      </c>
      <c r="C180" t="s">
        <v>323</v>
      </c>
      <c r="D180" s="63" t="s">
        <v>6</v>
      </c>
      <c r="E180">
        <v>5719</v>
      </c>
      <c r="F180">
        <v>5766</v>
      </c>
      <c r="G180">
        <v>5830</v>
      </c>
      <c r="H180">
        <v>5350</v>
      </c>
      <c r="I180">
        <v>4787</v>
      </c>
      <c r="J180">
        <v>4337</v>
      </c>
      <c r="K180">
        <v>4463</v>
      </c>
      <c r="L180">
        <v>5175</v>
      </c>
      <c r="M180">
        <v>5717</v>
      </c>
      <c r="N180">
        <v>5994</v>
      </c>
      <c r="O180">
        <v>6171</v>
      </c>
      <c r="P180">
        <v>5915</v>
      </c>
      <c r="Q180">
        <v>5435</v>
      </c>
    </row>
    <row r="181" spans="1:17" x14ac:dyDescent="0.25">
      <c r="A181" s="62">
        <v>-356309</v>
      </c>
      <c r="B181" s="62">
        <v>-67444</v>
      </c>
      <c r="C181" t="s">
        <v>324</v>
      </c>
      <c r="D181" s="63" t="s">
        <v>6</v>
      </c>
      <c r="E181">
        <v>5685</v>
      </c>
      <c r="F181">
        <v>5831</v>
      </c>
      <c r="G181">
        <v>5889</v>
      </c>
      <c r="H181">
        <v>5346</v>
      </c>
      <c r="I181">
        <v>4816</v>
      </c>
      <c r="J181">
        <v>4375</v>
      </c>
      <c r="K181">
        <v>4473</v>
      </c>
      <c r="L181">
        <v>5238</v>
      </c>
      <c r="M181">
        <v>5722</v>
      </c>
      <c r="N181">
        <v>5893</v>
      </c>
      <c r="O181">
        <v>6128</v>
      </c>
      <c r="P181">
        <v>5884</v>
      </c>
      <c r="Q181">
        <v>5440</v>
      </c>
    </row>
    <row r="182" spans="1:17" x14ac:dyDescent="0.25">
      <c r="A182" s="62">
        <v>-355172</v>
      </c>
      <c r="B182" s="62">
        <v>-67435</v>
      </c>
      <c r="C182" t="s">
        <v>325</v>
      </c>
      <c r="D182" s="63" t="s">
        <v>6</v>
      </c>
      <c r="E182">
        <v>5611</v>
      </c>
      <c r="F182">
        <v>5677</v>
      </c>
      <c r="G182">
        <v>5739</v>
      </c>
      <c r="H182">
        <v>5246</v>
      </c>
      <c r="I182">
        <v>4769</v>
      </c>
      <c r="J182">
        <v>4304</v>
      </c>
      <c r="K182">
        <v>4372</v>
      </c>
      <c r="L182">
        <v>5130</v>
      </c>
      <c r="M182">
        <v>5593</v>
      </c>
      <c r="N182">
        <v>5783</v>
      </c>
      <c r="O182">
        <v>5968</v>
      </c>
      <c r="P182">
        <v>5699</v>
      </c>
      <c r="Q182">
        <v>5324</v>
      </c>
    </row>
    <row r="183" spans="1:17" x14ac:dyDescent="0.25">
      <c r="A183" s="62">
        <v>-354184</v>
      </c>
      <c r="B183" s="62">
        <v>-66888</v>
      </c>
      <c r="C183" t="s">
        <v>326</v>
      </c>
      <c r="D183" s="63" t="s">
        <v>6</v>
      </c>
      <c r="E183">
        <v>5678</v>
      </c>
      <c r="F183">
        <v>5685</v>
      </c>
      <c r="G183">
        <v>5739</v>
      </c>
      <c r="H183">
        <v>5265</v>
      </c>
      <c r="I183">
        <v>4740</v>
      </c>
      <c r="J183">
        <v>4283</v>
      </c>
      <c r="K183">
        <v>4358</v>
      </c>
      <c r="L183">
        <v>5139</v>
      </c>
      <c r="M183">
        <v>5599</v>
      </c>
      <c r="N183">
        <v>5867</v>
      </c>
      <c r="O183">
        <v>6023</v>
      </c>
      <c r="P183">
        <v>5784</v>
      </c>
      <c r="Q183">
        <v>5346</v>
      </c>
    </row>
    <row r="184" spans="1:17" x14ac:dyDescent="0.25">
      <c r="A184" s="62">
        <v>-354382</v>
      </c>
      <c r="B184" s="62">
        <v>-66857</v>
      </c>
      <c r="C184" t="s">
        <v>327</v>
      </c>
      <c r="D184" s="63" t="s">
        <v>6</v>
      </c>
      <c r="E184">
        <v>5678</v>
      </c>
      <c r="F184">
        <v>5685</v>
      </c>
      <c r="G184">
        <v>5739</v>
      </c>
      <c r="H184">
        <v>5265</v>
      </c>
      <c r="I184">
        <v>4740</v>
      </c>
      <c r="J184">
        <v>4283</v>
      </c>
      <c r="K184">
        <v>4358</v>
      </c>
      <c r="L184">
        <v>5139</v>
      </c>
      <c r="M184">
        <v>5599</v>
      </c>
      <c r="N184">
        <v>5867</v>
      </c>
      <c r="O184">
        <v>6023</v>
      </c>
      <c r="P184">
        <v>5784</v>
      </c>
      <c r="Q184">
        <v>5346</v>
      </c>
    </row>
    <row r="185" spans="1:17" x14ac:dyDescent="0.25">
      <c r="A185" s="62">
        <v>-353709</v>
      </c>
      <c r="B185" s="62">
        <v>-66725</v>
      </c>
      <c r="C185" t="s">
        <v>328</v>
      </c>
      <c r="D185" s="63" t="s">
        <v>6</v>
      </c>
      <c r="E185">
        <v>5762</v>
      </c>
      <c r="F185">
        <v>5779</v>
      </c>
      <c r="G185">
        <v>5818</v>
      </c>
      <c r="H185">
        <v>5316</v>
      </c>
      <c r="I185">
        <v>4724</v>
      </c>
      <c r="J185">
        <v>4256</v>
      </c>
      <c r="K185">
        <v>4420</v>
      </c>
      <c r="L185">
        <v>5139</v>
      </c>
      <c r="M185">
        <v>5587</v>
      </c>
      <c r="N185">
        <v>5863</v>
      </c>
      <c r="O185">
        <v>6142</v>
      </c>
      <c r="P185">
        <v>5917</v>
      </c>
      <c r="Q185">
        <v>5394</v>
      </c>
    </row>
    <row r="186" spans="1:17" x14ac:dyDescent="0.25">
      <c r="A186" s="62">
        <v>-352671</v>
      </c>
      <c r="B186" s="62">
        <v>-67167</v>
      </c>
      <c r="C186" t="s">
        <v>329</v>
      </c>
      <c r="D186" s="63" t="s">
        <v>6</v>
      </c>
      <c r="E186">
        <v>5845</v>
      </c>
      <c r="F186">
        <v>5884</v>
      </c>
      <c r="G186">
        <v>5931</v>
      </c>
      <c r="H186">
        <v>5331</v>
      </c>
      <c r="I186">
        <v>4718</v>
      </c>
      <c r="J186">
        <v>4243</v>
      </c>
      <c r="K186">
        <v>4369</v>
      </c>
      <c r="L186">
        <v>5129</v>
      </c>
      <c r="M186">
        <v>5618</v>
      </c>
      <c r="N186">
        <v>5920</v>
      </c>
      <c r="O186">
        <v>6202</v>
      </c>
      <c r="P186">
        <v>6007</v>
      </c>
      <c r="Q186">
        <v>5433</v>
      </c>
    </row>
    <row r="187" spans="1:17" x14ac:dyDescent="0.25">
      <c r="A187" s="62">
        <v>-349335</v>
      </c>
      <c r="B187" s="62">
        <v>-66904</v>
      </c>
      <c r="C187" t="s">
        <v>330</v>
      </c>
      <c r="D187" s="63" t="s">
        <v>6</v>
      </c>
      <c r="E187">
        <v>6155</v>
      </c>
      <c r="F187">
        <v>6156</v>
      </c>
      <c r="G187">
        <v>6229</v>
      </c>
      <c r="H187">
        <v>5601</v>
      </c>
      <c r="I187">
        <v>5053</v>
      </c>
      <c r="J187">
        <v>4532</v>
      </c>
      <c r="K187">
        <v>4688</v>
      </c>
      <c r="L187">
        <v>5559</v>
      </c>
      <c r="M187">
        <v>6004</v>
      </c>
      <c r="N187">
        <v>6288</v>
      </c>
      <c r="O187">
        <v>6501</v>
      </c>
      <c r="P187">
        <v>6308</v>
      </c>
      <c r="Q187">
        <v>5756</v>
      </c>
    </row>
    <row r="188" spans="1:17" x14ac:dyDescent="0.25">
      <c r="A188" s="62">
        <v>-385114</v>
      </c>
      <c r="B188" s="62">
        <v>-65644</v>
      </c>
      <c r="C188" t="s">
        <v>331</v>
      </c>
      <c r="D188" s="63" t="s">
        <v>6</v>
      </c>
      <c r="E188">
        <v>6079</v>
      </c>
      <c r="F188">
        <v>6043</v>
      </c>
      <c r="G188">
        <v>5918</v>
      </c>
      <c r="H188">
        <v>5675</v>
      </c>
      <c r="I188">
        <v>5179</v>
      </c>
      <c r="J188">
        <v>4966</v>
      </c>
      <c r="K188">
        <v>5271</v>
      </c>
      <c r="L188">
        <v>6036</v>
      </c>
      <c r="M188">
        <v>6463</v>
      </c>
      <c r="N188">
        <v>6580</v>
      </c>
      <c r="O188">
        <v>6740</v>
      </c>
      <c r="P188">
        <v>6256</v>
      </c>
      <c r="Q188">
        <v>5934</v>
      </c>
    </row>
    <row r="189" spans="1:17" x14ac:dyDescent="0.25">
      <c r="A189" s="62">
        <v>-385989</v>
      </c>
      <c r="B189" s="62">
        <v>-65717</v>
      </c>
      <c r="C189" t="s">
        <v>332</v>
      </c>
      <c r="D189" s="63" t="s">
        <v>6</v>
      </c>
      <c r="E189">
        <v>6079</v>
      </c>
      <c r="F189">
        <v>6043</v>
      </c>
      <c r="G189">
        <v>5918</v>
      </c>
      <c r="H189">
        <v>5675</v>
      </c>
      <c r="I189">
        <v>5179</v>
      </c>
      <c r="J189">
        <v>4966</v>
      </c>
      <c r="K189">
        <v>5271</v>
      </c>
      <c r="L189">
        <v>6036</v>
      </c>
      <c r="M189">
        <v>6463</v>
      </c>
      <c r="N189">
        <v>6580</v>
      </c>
      <c r="O189">
        <v>6740</v>
      </c>
      <c r="P189">
        <v>6256</v>
      </c>
      <c r="Q189">
        <v>5934</v>
      </c>
    </row>
    <row r="190" spans="1:17" x14ac:dyDescent="0.25">
      <c r="A190" s="62">
        <v>-380958</v>
      </c>
      <c r="B190" s="62">
        <v>-66188</v>
      </c>
      <c r="C190" t="s">
        <v>333</v>
      </c>
      <c r="D190" s="63" t="s">
        <v>6</v>
      </c>
      <c r="E190">
        <v>6027</v>
      </c>
      <c r="F190">
        <v>6003</v>
      </c>
      <c r="G190">
        <v>6106</v>
      </c>
      <c r="H190">
        <v>5792</v>
      </c>
      <c r="I190">
        <v>5289</v>
      </c>
      <c r="J190">
        <v>4981</v>
      </c>
      <c r="K190">
        <v>5251</v>
      </c>
      <c r="L190">
        <v>5997</v>
      </c>
      <c r="M190">
        <v>6553</v>
      </c>
      <c r="N190">
        <v>6650</v>
      </c>
      <c r="O190">
        <v>6791</v>
      </c>
      <c r="P190">
        <v>6267</v>
      </c>
      <c r="Q190">
        <v>5976</v>
      </c>
    </row>
    <row r="191" spans="1:17" x14ac:dyDescent="0.25">
      <c r="A191" s="62">
        <v>-379156</v>
      </c>
      <c r="B191" s="62">
        <v>-65921</v>
      </c>
      <c r="C191" t="s">
        <v>334</v>
      </c>
      <c r="D191" s="63" t="s">
        <v>6</v>
      </c>
      <c r="E191">
        <v>6096</v>
      </c>
      <c r="F191">
        <v>6082</v>
      </c>
      <c r="G191">
        <v>6128</v>
      </c>
      <c r="H191">
        <v>5812</v>
      </c>
      <c r="I191">
        <v>5308</v>
      </c>
      <c r="J191">
        <v>4990</v>
      </c>
      <c r="K191">
        <v>5265</v>
      </c>
      <c r="L191">
        <v>6027</v>
      </c>
      <c r="M191">
        <v>6573</v>
      </c>
      <c r="N191">
        <v>6682</v>
      </c>
      <c r="O191">
        <v>6748</v>
      </c>
      <c r="P191">
        <v>6282</v>
      </c>
      <c r="Q191">
        <v>5999</v>
      </c>
    </row>
    <row r="192" spans="1:17" x14ac:dyDescent="0.25">
      <c r="A192" s="62">
        <v>-37806</v>
      </c>
      <c r="B192" s="62">
        <v>-65535</v>
      </c>
      <c r="C192" t="s">
        <v>335</v>
      </c>
      <c r="D192" s="63" t="s">
        <v>6</v>
      </c>
      <c r="E192">
        <v>6087</v>
      </c>
      <c r="F192">
        <v>6094</v>
      </c>
      <c r="G192">
        <v>6133</v>
      </c>
      <c r="H192">
        <v>5824</v>
      </c>
      <c r="I192">
        <v>5309</v>
      </c>
      <c r="J192">
        <v>4947</v>
      </c>
      <c r="K192">
        <v>5236</v>
      </c>
      <c r="L192">
        <v>5988</v>
      </c>
      <c r="M192">
        <v>6528</v>
      </c>
      <c r="N192">
        <v>6653</v>
      </c>
      <c r="O192">
        <v>6689</v>
      </c>
      <c r="P192">
        <v>6266</v>
      </c>
      <c r="Q192">
        <v>5979</v>
      </c>
    </row>
    <row r="193" spans="1:17" x14ac:dyDescent="0.25">
      <c r="A193" s="62">
        <v>-376189</v>
      </c>
      <c r="B193" s="62">
        <v>-65918</v>
      </c>
      <c r="C193" t="s">
        <v>336</v>
      </c>
      <c r="D193" s="63" t="s">
        <v>6</v>
      </c>
      <c r="E193">
        <v>6252</v>
      </c>
      <c r="F193">
        <v>6224</v>
      </c>
      <c r="G193">
        <v>6242</v>
      </c>
      <c r="H193">
        <v>5857</v>
      </c>
      <c r="I193">
        <v>5324</v>
      </c>
      <c r="J193">
        <v>4902</v>
      </c>
      <c r="K193">
        <v>5167</v>
      </c>
      <c r="L193">
        <v>5953</v>
      </c>
      <c r="M193">
        <v>6494</v>
      </c>
      <c r="N193">
        <v>6651</v>
      </c>
      <c r="O193">
        <v>6670</v>
      </c>
      <c r="P193">
        <v>6348</v>
      </c>
      <c r="Q193">
        <v>6007</v>
      </c>
    </row>
    <row r="194" spans="1:17" x14ac:dyDescent="0.25">
      <c r="A194" s="62">
        <v>-36255</v>
      </c>
      <c r="B194" s="62">
        <v>-66425</v>
      </c>
      <c r="C194" t="s">
        <v>337</v>
      </c>
      <c r="D194" s="63" t="s">
        <v>6</v>
      </c>
      <c r="E194">
        <v>5872</v>
      </c>
      <c r="F194">
        <v>5853</v>
      </c>
      <c r="G194">
        <v>5907</v>
      </c>
      <c r="H194">
        <v>5504</v>
      </c>
      <c r="I194">
        <v>4872</v>
      </c>
      <c r="J194">
        <v>4496</v>
      </c>
      <c r="K194">
        <v>4706</v>
      </c>
      <c r="L194">
        <v>5393</v>
      </c>
      <c r="M194">
        <v>5946</v>
      </c>
      <c r="N194">
        <v>6215</v>
      </c>
      <c r="O194">
        <v>6250</v>
      </c>
      <c r="P194">
        <v>5940</v>
      </c>
      <c r="Q194">
        <v>5579</v>
      </c>
    </row>
    <row r="195" spans="1:17" x14ac:dyDescent="0.25">
      <c r="A195" s="62">
        <v>-359104</v>
      </c>
      <c r="B195" s="62">
        <v>-6632</v>
      </c>
      <c r="C195" t="s">
        <v>338</v>
      </c>
      <c r="D195" s="63" t="s">
        <v>6</v>
      </c>
      <c r="E195">
        <v>5753</v>
      </c>
      <c r="F195">
        <v>5726</v>
      </c>
      <c r="G195">
        <v>5850</v>
      </c>
      <c r="H195">
        <v>5381</v>
      </c>
      <c r="I195">
        <v>4778</v>
      </c>
      <c r="J195">
        <v>4382</v>
      </c>
      <c r="K195">
        <v>4550</v>
      </c>
      <c r="L195">
        <v>5280</v>
      </c>
      <c r="M195">
        <v>5709</v>
      </c>
      <c r="N195">
        <v>5974</v>
      </c>
      <c r="O195">
        <v>6132</v>
      </c>
      <c r="P195">
        <v>5842</v>
      </c>
      <c r="Q195">
        <v>5446</v>
      </c>
    </row>
    <row r="196" spans="1:17" x14ac:dyDescent="0.25">
      <c r="A196" s="62">
        <v>-357935</v>
      </c>
      <c r="B196" s="62">
        <v>-66399</v>
      </c>
      <c r="C196" t="s">
        <v>339</v>
      </c>
      <c r="D196" s="63" t="s">
        <v>6</v>
      </c>
      <c r="E196">
        <v>5682</v>
      </c>
      <c r="F196">
        <v>5716</v>
      </c>
      <c r="G196">
        <v>5813</v>
      </c>
      <c r="H196">
        <v>5277</v>
      </c>
      <c r="I196">
        <v>4737</v>
      </c>
      <c r="J196">
        <v>4201</v>
      </c>
      <c r="K196">
        <v>4356</v>
      </c>
      <c r="L196">
        <v>5069</v>
      </c>
      <c r="M196">
        <v>5550</v>
      </c>
      <c r="N196">
        <v>5798</v>
      </c>
      <c r="O196">
        <v>5980</v>
      </c>
      <c r="P196">
        <v>5733</v>
      </c>
      <c r="Q196">
        <v>5326</v>
      </c>
    </row>
    <row r="197" spans="1:17" x14ac:dyDescent="0.25">
      <c r="A197" s="62">
        <v>-356274</v>
      </c>
      <c r="B197" s="62">
        <v>-66032</v>
      </c>
      <c r="C197" t="s">
        <v>340</v>
      </c>
      <c r="D197" s="63" t="s">
        <v>6</v>
      </c>
      <c r="E197">
        <v>5618</v>
      </c>
      <c r="F197">
        <v>5757</v>
      </c>
      <c r="G197">
        <v>5828</v>
      </c>
      <c r="H197">
        <v>5352</v>
      </c>
      <c r="I197">
        <v>4821</v>
      </c>
      <c r="J197">
        <v>4269</v>
      </c>
      <c r="K197">
        <v>4454</v>
      </c>
      <c r="L197">
        <v>5197</v>
      </c>
      <c r="M197">
        <v>5579</v>
      </c>
      <c r="N197">
        <v>5784</v>
      </c>
      <c r="O197">
        <v>5984</v>
      </c>
      <c r="P197">
        <v>5731</v>
      </c>
      <c r="Q197">
        <v>5364</v>
      </c>
    </row>
    <row r="198" spans="1:17" x14ac:dyDescent="0.25">
      <c r="A198" s="62">
        <v>-354407</v>
      </c>
      <c r="B198" s="62">
        <v>-66165</v>
      </c>
      <c r="C198" t="s">
        <v>341</v>
      </c>
      <c r="D198" s="63" t="s">
        <v>6</v>
      </c>
      <c r="E198">
        <v>5752</v>
      </c>
      <c r="F198">
        <v>5783</v>
      </c>
      <c r="G198">
        <v>5879</v>
      </c>
      <c r="H198">
        <v>5351</v>
      </c>
      <c r="I198">
        <v>4851</v>
      </c>
      <c r="J198">
        <v>4413</v>
      </c>
      <c r="K198">
        <v>4581</v>
      </c>
      <c r="L198">
        <v>5269</v>
      </c>
      <c r="M198">
        <v>5715</v>
      </c>
      <c r="N198">
        <v>5929</v>
      </c>
      <c r="O198">
        <v>6125</v>
      </c>
      <c r="P198">
        <v>5822</v>
      </c>
      <c r="Q198">
        <v>5456</v>
      </c>
    </row>
    <row r="199" spans="1:17" x14ac:dyDescent="0.25">
      <c r="A199" s="62">
        <v>-354584</v>
      </c>
      <c r="B199" s="62">
        <v>-66216</v>
      </c>
      <c r="C199" t="s">
        <v>342</v>
      </c>
      <c r="D199" s="63" t="s">
        <v>6</v>
      </c>
      <c r="E199">
        <v>5752</v>
      </c>
      <c r="F199">
        <v>5783</v>
      </c>
      <c r="G199">
        <v>5879</v>
      </c>
      <c r="H199">
        <v>5351</v>
      </c>
      <c r="I199">
        <v>4851</v>
      </c>
      <c r="J199">
        <v>4413</v>
      </c>
      <c r="K199">
        <v>4581</v>
      </c>
      <c r="L199">
        <v>5269</v>
      </c>
      <c r="M199">
        <v>5715</v>
      </c>
      <c r="N199">
        <v>5929</v>
      </c>
      <c r="O199">
        <v>6125</v>
      </c>
      <c r="P199">
        <v>5822</v>
      </c>
      <c r="Q199">
        <v>5456</v>
      </c>
    </row>
    <row r="200" spans="1:17" x14ac:dyDescent="0.25">
      <c r="A200" s="62">
        <v>-352893</v>
      </c>
      <c r="B200" s="62">
        <v>-66149</v>
      </c>
      <c r="C200" t="s">
        <v>343</v>
      </c>
      <c r="D200" s="63" t="s">
        <v>6</v>
      </c>
      <c r="E200">
        <v>5921</v>
      </c>
      <c r="F200">
        <v>5976</v>
      </c>
      <c r="G200">
        <v>5983</v>
      </c>
      <c r="H200">
        <v>5401</v>
      </c>
      <c r="I200">
        <v>4835</v>
      </c>
      <c r="J200">
        <v>4381</v>
      </c>
      <c r="K200">
        <v>4486</v>
      </c>
      <c r="L200">
        <v>5238</v>
      </c>
      <c r="M200">
        <v>5712</v>
      </c>
      <c r="N200">
        <v>5954</v>
      </c>
      <c r="O200">
        <v>6258</v>
      </c>
      <c r="P200">
        <v>6048</v>
      </c>
      <c r="Q200">
        <v>5516</v>
      </c>
    </row>
    <row r="201" spans="1:17" x14ac:dyDescent="0.25">
      <c r="A201" s="62">
        <v>-352734</v>
      </c>
      <c r="B201" s="62">
        <v>-66404</v>
      </c>
      <c r="C201" t="s">
        <v>344</v>
      </c>
      <c r="D201" s="63" t="s">
        <v>6</v>
      </c>
      <c r="E201">
        <v>5921</v>
      </c>
      <c r="F201">
        <v>5976</v>
      </c>
      <c r="G201">
        <v>5983</v>
      </c>
      <c r="H201">
        <v>5401</v>
      </c>
      <c r="I201">
        <v>4835</v>
      </c>
      <c r="J201">
        <v>4381</v>
      </c>
      <c r="K201">
        <v>4486</v>
      </c>
      <c r="L201">
        <v>5238</v>
      </c>
      <c r="M201">
        <v>5712</v>
      </c>
      <c r="N201">
        <v>5954</v>
      </c>
      <c r="O201">
        <v>6258</v>
      </c>
      <c r="P201">
        <v>6048</v>
      </c>
      <c r="Q201">
        <v>5516</v>
      </c>
    </row>
    <row r="202" spans="1:17" x14ac:dyDescent="0.25">
      <c r="A202" s="62">
        <v>-350534</v>
      </c>
      <c r="B202" s="62">
        <v>-65971</v>
      </c>
      <c r="C202" t="s">
        <v>345</v>
      </c>
      <c r="D202" s="63" t="s">
        <v>6</v>
      </c>
      <c r="E202">
        <v>6011</v>
      </c>
      <c r="F202">
        <v>6027</v>
      </c>
      <c r="G202">
        <v>6105</v>
      </c>
      <c r="H202">
        <v>5500</v>
      </c>
      <c r="I202">
        <v>4920</v>
      </c>
      <c r="J202">
        <v>4457</v>
      </c>
      <c r="K202">
        <v>4588</v>
      </c>
      <c r="L202">
        <v>5386</v>
      </c>
      <c r="M202">
        <v>5815</v>
      </c>
      <c r="N202">
        <v>6047</v>
      </c>
      <c r="O202">
        <v>6256</v>
      </c>
      <c r="P202">
        <v>6043</v>
      </c>
      <c r="Q202">
        <v>5596</v>
      </c>
    </row>
    <row r="203" spans="1:17" x14ac:dyDescent="0.25">
      <c r="A203" s="62">
        <v>-385502</v>
      </c>
      <c r="B203" s="62">
        <v>-64538</v>
      </c>
      <c r="C203" t="s">
        <v>346</v>
      </c>
      <c r="D203" s="63" t="s">
        <v>6</v>
      </c>
      <c r="E203">
        <v>5976</v>
      </c>
      <c r="F203">
        <v>5895</v>
      </c>
      <c r="G203">
        <v>5814</v>
      </c>
      <c r="H203">
        <v>5509</v>
      </c>
      <c r="I203">
        <v>5084</v>
      </c>
      <c r="J203">
        <v>4920</v>
      </c>
      <c r="K203">
        <v>5291</v>
      </c>
      <c r="L203">
        <v>6049</v>
      </c>
      <c r="M203">
        <v>6495</v>
      </c>
      <c r="N203">
        <v>6605</v>
      </c>
      <c r="O203">
        <v>6701</v>
      </c>
      <c r="P203">
        <v>6145</v>
      </c>
      <c r="Q203">
        <v>5874</v>
      </c>
    </row>
    <row r="204" spans="1:17" x14ac:dyDescent="0.25">
      <c r="A204" s="62">
        <v>-384116</v>
      </c>
      <c r="B204" s="62">
        <v>-65207</v>
      </c>
      <c r="C204" t="s">
        <v>347</v>
      </c>
      <c r="D204" s="63" t="s">
        <v>6</v>
      </c>
      <c r="E204">
        <v>5992</v>
      </c>
      <c r="F204">
        <v>5939</v>
      </c>
      <c r="G204">
        <v>5926</v>
      </c>
      <c r="H204">
        <v>5566</v>
      </c>
      <c r="I204">
        <v>5131</v>
      </c>
      <c r="J204">
        <v>4932</v>
      </c>
      <c r="K204">
        <v>5258</v>
      </c>
      <c r="L204">
        <v>6020</v>
      </c>
      <c r="M204">
        <v>6464</v>
      </c>
      <c r="N204">
        <v>6561</v>
      </c>
      <c r="O204">
        <v>6674</v>
      </c>
      <c r="P204">
        <v>6160</v>
      </c>
      <c r="Q204">
        <v>5885</v>
      </c>
    </row>
    <row r="205" spans="1:17" x14ac:dyDescent="0.25">
      <c r="A205" s="62">
        <v>-384767</v>
      </c>
      <c r="B205" s="62">
        <v>-6484</v>
      </c>
      <c r="C205" t="s">
        <v>348</v>
      </c>
      <c r="D205" s="63" t="s">
        <v>6</v>
      </c>
      <c r="E205">
        <v>5992</v>
      </c>
      <c r="F205">
        <v>5939</v>
      </c>
      <c r="G205">
        <v>5926</v>
      </c>
      <c r="H205">
        <v>5566</v>
      </c>
      <c r="I205">
        <v>5131</v>
      </c>
      <c r="J205">
        <v>4932</v>
      </c>
      <c r="K205">
        <v>5258</v>
      </c>
      <c r="L205">
        <v>6020</v>
      </c>
      <c r="M205">
        <v>6464</v>
      </c>
      <c r="N205">
        <v>6561</v>
      </c>
      <c r="O205">
        <v>6674</v>
      </c>
      <c r="P205">
        <v>6160</v>
      </c>
      <c r="Q205">
        <v>5885</v>
      </c>
    </row>
    <row r="206" spans="1:17" x14ac:dyDescent="0.25">
      <c r="A206" s="62">
        <v>-382773</v>
      </c>
      <c r="B206" s="62">
        <v>-65453</v>
      </c>
      <c r="C206" t="s">
        <v>349</v>
      </c>
      <c r="D206" s="63" t="s">
        <v>6</v>
      </c>
      <c r="E206">
        <v>6030</v>
      </c>
      <c r="F206">
        <v>6015</v>
      </c>
      <c r="G206">
        <v>6005</v>
      </c>
      <c r="H206">
        <v>5673</v>
      </c>
      <c r="I206">
        <v>5239</v>
      </c>
      <c r="J206">
        <v>5003</v>
      </c>
      <c r="K206">
        <v>5305</v>
      </c>
      <c r="L206">
        <v>6064</v>
      </c>
      <c r="M206">
        <v>6451</v>
      </c>
      <c r="N206">
        <v>6601</v>
      </c>
      <c r="O206">
        <v>6729</v>
      </c>
      <c r="P206">
        <v>6191</v>
      </c>
      <c r="Q206">
        <v>5942</v>
      </c>
    </row>
    <row r="207" spans="1:17" x14ac:dyDescent="0.25">
      <c r="A207" s="62">
        <v>-381745</v>
      </c>
      <c r="B207" s="62">
        <v>-65064</v>
      </c>
      <c r="C207" t="s">
        <v>350</v>
      </c>
      <c r="D207" s="63" t="s">
        <v>6</v>
      </c>
      <c r="E207">
        <v>6022</v>
      </c>
      <c r="F207">
        <v>5970</v>
      </c>
      <c r="G207">
        <v>6052</v>
      </c>
      <c r="H207">
        <v>5715</v>
      </c>
      <c r="I207">
        <v>5260</v>
      </c>
      <c r="J207">
        <v>4982</v>
      </c>
      <c r="K207">
        <v>5269</v>
      </c>
      <c r="L207">
        <v>6031</v>
      </c>
      <c r="M207">
        <v>6464</v>
      </c>
      <c r="N207">
        <v>6597</v>
      </c>
      <c r="O207">
        <v>6750</v>
      </c>
      <c r="P207">
        <v>6203</v>
      </c>
      <c r="Q207">
        <v>5943</v>
      </c>
    </row>
    <row r="208" spans="1:17" x14ac:dyDescent="0.25">
      <c r="A208" s="62">
        <v>-380582</v>
      </c>
      <c r="B208" s="62">
        <v>-65329</v>
      </c>
      <c r="C208" t="s">
        <v>351</v>
      </c>
      <c r="D208" s="63" t="s">
        <v>6</v>
      </c>
      <c r="E208">
        <v>6080</v>
      </c>
      <c r="F208">
        <v>6049</v>
      </c>
      <c r="G208">
        <v>6133</v>
      </c>
      <c r="H208">
        <v>5769</v>
      </c>
      <c r="I208">
        <v>5294</v>
      </c>
      <c r="J208">
        <v>4992</v>
      </c>
      <c r="K208">
        <v>5270</v>
      </c>
      <c r="L208">
        <v>6000</v>
      </c>
      <c r="M208">
        <v>6507</v>
      </c>
      <c r="N208">
        <v>6666</v>
      </c>
      <c r="O208">
        <v>6763</v>
      </c>
      <c r="P208">
        <v>6286</v>
      </c>
      <c r="Q208">
        <v>5984</v>
      </c>
    </row>
    <row r="209" spans="1:17" x14ac:dyDescent="0.25">
      <c r="A209" s="62">
        <v>-377149</v>
      </c>
      <c r="B209" s="62">
        <v>-65414</v>
      </c>
      <c r="C209" t="s">
        <v>352</v>
      </c>
      <c r="D209" s="63" t="s">
        <v>6</v>
      </c>
      <c r="E209">
        <v>6168</v>
      </c>
      <c r="F209">
        <v>6186</v>
      </c>
      <c r="G209">
        <v>6210</v>
      </c>
      <c r="H209">
        <v>5872</v>
      </c>
      <c r="I209">
        <v>5341</v>
      </c>
      <c r="J209">
        <v>4936</v>
      </c>
      <c r="K209">
        <v>5251</v>
      </c>
      <c r="L209">
        <v>5994</v>
      </c>
      <c r="M209">
        <v>6523</v>
      </c>
      <c r="N209">
        <v>6651</v>
      </c>
      <c r="O209">
        <v>6703</v>
      </c>
      <c r="P209">
        <v>6323</v>
      </c>
      <c r="Q209">
        <v>6013</v>
      </c>
    </row>
    <row r="210" spans="1:17" x14ac:dyDescent="0.25">
      <c r="A210" s="62">
        <v>-374491</v>
      </c>
      <c r="B210" s="62">
        <v>-64857</v>
      </c>
      <c r="C210" t="s">
        <v>353</v>
      </c>
      <c r="D210" s="63" t="s">
        <v>6</v>
      </c>
      <c r="E210">
        <v>6219</v>
      </c>
      <c r="F210">
        <v>6233</v>
      </c>
      <c r="G210">
        <v>6237</v>
      </c>
      <c r="H210">
        <v>5905</v>
      </c>
      <c r="I210">
        <v>5301</v>
      </c>
      <c r="J210">
        <v>4854</v>
      </c>
      <c r="K210">
        <v>5131</v>
      </c>
      <c r="L210">
        <v>5877</v>
      </c>
      <c r="M210">
        <v>6439</v>
      </c>
      <c r="N210">
        <v>6624</v>
      </c>
      <c r="O210">
        <v>6612</v>
      </c>
      <c r="P210">
        <v>6313</v>
      </c>
      <c r="Q210">
        <v>5979</v>
      </c>
    </row>
    <row r="211" spans="1:17" x14ac:dyDescent="0.25">
      <c r="A211" t="s">
        <v>354</v>
      </c>
      <c r="B211" s="62">
        <v>-65089</v>
      </c>
      <c r="C211" t="s">
        <v>355</v>
      </c>
      <c r="D211" s="63" t="s">
        <v>6</v>
      </c>
      <c r="E211">
        <v>5964</v>
      </c>
      <c r="F211">
        <v>5905</v>
      </c>
      <c r="G211">
        <v>5902</v>
      </c>
      <c r="H211">
        <v>5533</v>
      </c>
      <c r="I211">
        <v>4962</v>
      </c>
      <c r="J211">
        <v>4588</v>
      </c>
      <c r="K211">
        <v>4837</v>
      </c>
      <c r="L211">
        <v>5560</v>
      </c>
      <c r="M211">
        <v>6093</v>
      </c>
      <c r="N211">
        <v>6330</v>
      </c>
      <c r="O211">
        <v>6388</v>
      </c>
      <c r="P211">
        <v>5987</v>
      </c>
      <c r="Q211">
        <v>5671</v>
      </c>
    </row>
    <row r="212" spans="1:17" x14ac:dyDescent="0.25">
      <c r="A212" s="62">
        <v>-362049</v>
      </c>
      <c r="B212" s="62">
        <v>-64567</v>
      </c>
      <c r="C212" t="s">
        <v>356</v>
      </c>
      <c r="D212" s="63" t="s">
        <v>6</v>
      </c>
      <c r="E212">
        <v>5875</v>
      </c>
      <c r="F212">
        <v>5844</v>
      </c>
      <c r="G212">
        <v>5871</v>
      </c>
      <c r="H212">
        <v>5497</v>
      </c>
      <c r="I212">
        <v>4916</v>
      </c>
      <c r="J212">
        <v>4505</v>
      </c>
      <c r="K212">
        <v>4722</v>
      </c>
      <c r="L212">
        <v>5471</v>
      </c>
      <c r="M212">
        <v>6004</v>
      </c>
      <c r="N212">
        <v>6248</v>
      </c>
      <c r="O212">
        <v>6304</v>
      </c>
      <c r="P212">
        <v>5931</v>
      </c>
      <c r="Q212">
        <v>5599</v>
      </c>
    </row>
    <row r="213" spans="1:17" x14ac:dyDescent="0.25">
      <c r="A213" s="62">
        <v>-361549</v>
      </c>
      <c r="B213" s="62">
        <v>-64857</v>
      </c>
      <c r="C213" t="s">
        <v>357</v>
      </c>
      <c r="D213" s="63" t="s">
        <v>6</v>
      </c>
      <c r="E213">
        <v>5695</v>
      </c>
      <c r="F213">
        <v>5719</v>
      </c>
      <c r="G213">
        <v>5686</v>
      </c>
      <c r="H213">
        <v>5355</v>
      </c>
      <c r="I213">
        <v>4760</v>
      </c>
      <c r="J213">
        <v>4322</v>
      </c>
      <c r="K213">
        <v>4521</v>
      </c>
      <c r="L213">
        <v>5264</v>
      </c>
      <c r="M213">
        <v>5779</v>
      </c>
      <c r="N213">
        <v>6051</v>
      </c>
      <c r="O213">
        <v>6179</v>
      </c>
      <c r="P213">
        <v>5800</v>
      </c>
      <c r="Q213">
        <v>5428</v>
      </c>
    </row>
    <row r="214" spans="1:17" x14ac:dyDescent="0.25">
      <c r="A214" s="62">
        <v>-357409</v>
      </c>
      <c r="B214" s="62">
        <v>-65346</v>
      </c>
      <c r="C214" t="s">
        <v>358</v>
      </c>
      <c r="D214" s="63" t="s">
        <v>6</v>
      </c>
      <c r="E214">
        <v>5777</v>
      </c>
      <c r="F214">
        <v>5853</v>
      </c>
      <c r="G214">
        <v>5939</v>
      </c>
      <c r="H214">
        <v>5410</v>
      </c>
      <c r="I214">
        <v>4877</v>
      </c>
      <c r="J214">
        <v>4406</v>
      </c>
      <c r="K214">
        <v>4588</v>
      </c>
      <c r="L214">
        <v>5299</v>
      </c>
      <c r="M214">
        <v>5772</v>
      </c>
      <c r="N214">
        <v>5929</v>
      </c>
      <c r="O214">
        <v>6118</v>
      </c>
      <c r="P214">
        <v>5820</v>
      </c>
      <c r="Q214">
        <v>5482</v>
      </c>
    </row>
    <row r="215" spans="1:17" x14ac:dyDescent="0.25">
      <c r="A215" s="62">
        <v>-356613</v>
      </c>
      <c r="B215" s="62">
        <v>-65431</v>
      </c>
      <c r="C215" t="s">
        <v>359</v>
      </c>
      <c r="D215" s="63" t="s">
        <v>6</v>
      </c>
      <c r="E215">
        <v>5607</v>
      </c>
      <c r="F215">
        <v>5729</v>
      </c>
      <c r="G215">
        <v>5789</v>
      </c>
      <c r="H215">
        <v>5368</v>
      </c>
      <c r="I215">
        <v>4838</v>
      </c>
      <c r="J215">
        <v>4378</v>
      </c>
      <c r="K215">
        <v>4537</v>
      </c>
      <c r="L215">
        <v>5224</v>
      </c>
      <c r="M215">
        <v>5592</v>
      </c>
      <c r="N215">
        <v>5750</v>
      </c>
      <c r="O215">
        <v>5978</v>
      </c>
      <c r="P215">
        <v>5681</v>
      </c>
      <c r="Q215">
        <v>5373</v>
      </c>
    </row>
    <row r="216" spans="1:17" x14ac:dyDescent="0.25">
      <c r="A216" s="62">
        <v>-35637</v>
      </c>
      <c r="B216" s="62">
        <v>-6488</v>
      </c>
      <c r="C216" t="s">
        <v>360</v>
      </c>
      <c r="D216" s="63" t="s">
        <v>6</v>
      </c>
      <c r="E216">
        <v>5607</v>
      </c>
      <c r="F216">
        <v>5729</v>
      </c>
      <c r="G216">
        <v>5789</v>
      </c>
      <c r="H216">
        <v>5368</v>
      </c>
      <c r="I216">
        <v>4838</v>
      </c>
      <c r="J216">
        <v>4378</v>
      </c>
      <c r="K216">
        <v>4537</v>
      </c>
      <c r="L216">
        <v>5224</v>
      </c>
      <c r="M216">
        <v>5592</v>
      </c>
      <c r="N216">
        <v>5750</v>
      </c>
      <c r="O216">
        <v>5978</v>
      </c>
      <c r="P216">
        <v>5681</v>
      </c>
      <c r="Q216">
        <v>5373</v>
      </c>
    </row>
    <row r="217" spans="1:17" x14ac:dyDescent="0.25">
      <c r="A217" s="62">
        <v>-384912</v>
      </c>
      <c r="B217" s="62">
        <v>-63992</v>
      </c>
      <c r="C217" t="s">
        <v>361</v>
      </c>
      <c r="D217" s="63" t="s">
        <v>6</v>
      </c>
      <c r="E217">
        <v>5920</v>
      </c>
      <c r="F217">
        <v>5838</v>
      </c>
      <c r="G217">
        <v>5864</v>
      </c>
      <c r="H217">
        <v>5507</v>
      </c>
      <c r="I217">
        <v>5130</v>
      </c>
      <c r="J217">
        <v>4937</v>
      </c>
      <c r="K217">
        <v>5303</v>
      </c>
      <c r="L217">
        <v>6072</v>
      </c>
      <c r="M217">
        <v>6480</v>
      </c>
      <c r="N217">
        <v>6570</v>
      </c>
      <c r="O217">
        <v>6660</v>
      </c>
      <c r="P217">
        <v>6118</v>
      </c>
      <c r="Q217">
        <v>5867</v>
      </c>
    </row>
    <row r="218" spans="1:17" x14ac:dyDescent="0.25">
      <c r="A218" s="62">
        <v>-379237</v>
      </c>
      <c r="B218" s="62">
        <v>-64422</v>
      </c>
      <c r="C218" t="s">
        <v>362</v>
      </c>
      <c r="D218" s="63" t="s">
        <v>6</v>
      </c>
      <c r="E218">
        <v>6144</v>
      </c>
      <c r="F218">
        <v>6105</v>
      </c>
      <c r="G218">
        <v>6139</v>
      </c>
      <c r="H218">
        <v>5828</v>
      </c>
      <c r="I218">
        <v>5325</v>
      </c>
      <c r="J218">
        <v>5040</v>
      </c>
      <c r="K218">
        <v>5326</v>
      </c>
      <c r="L218">
        <v>6042</v>
      </c>
      <c r="M218">
        <v>6481</v>
      </c>
      <c r="N218">
        <v>6623</v>
      </c>
      <c r="O218">
        <v>6726</v>
      </c>
      <c r="P218">
        <v>6288</v>
      </c>
      <c r="Q218">
        <v>6006</v>
      </c>
    </row>
    <row r="219" spans="1:17" x14ac:dyDescent="0.25">
      <c r="A219" s="62">
        <v>-378256</v>
      </c>
      <c r="B219" s="62">
        <v>-63711</v>
      </c>
      <c r="C219" t="s">
        <v>363</v>
      </c>
      <c r="D219" s="63" t="s">
        <v>6</v>
      </c>
      <c r="E219">
        <v>6136</v>
      </c>
      <c r="F219">
        <v>6131</v>
      </c>
      <c r="G219">
        <v>6104</v>
      </c>
      <c r="H219">
        <v>5810</v>
      </c>
      <c r="I219">
        <v>5312</v>
      </c>
      <c r="J219">
        <v>4993</v>
      </c>
      <c r="K219">
        <v>5301</v>
      </c>
      <c r="L219">
        <v>6024</v>
      </c>
      <c r="M219">
        <v>6553</v>
      </c>
      <c r="N219">
        <v>6639</v>
      </c>
      <c r="O219">
        <v>6693</v>
      </c>
      <c r="P219">
        <v>6278</v>
      </c>
      <c r="Q219">
        <v>5998</v>
      </c>
    </row>
    <row r="220" spans="1:17" x14ac:dyDescent="0.25">
      <c r="A220" s="62">
        <v>-376486</v>
      </c>
      <c r="B220" s="62">
        <v>-64411</v>
      </c>
      <c r="C220" t="s">
        <v>364</v>
      </c>
      <c r="D220" s="63" t="s">
        <v>6</v>
      </c>
      <c r="E220">
        <v>6130</v>
      </c>
      <c r="F220">
        <v>6185</v>
      </c>
      <c r="G220">
        <v>6173</v>
      </c>
      <c r="H220">
        <v>5878</v>
      </c>
      <c r="I220">
        <v>5326</v>
      </c>
      <c r="J220">
        <v>4904</v>
      </c>
      <c r="K220">
        <v>5260</v>
      </c>
      <c r="L220">
        <v>5961</v>
      </c>
      <c r="M220">
        <v>6504</v>
      </c>
      <c r="N220">
        <v>6613</v>
      </c>
      <c r="O220">
        <v>6622</v>
      </c>
      <c r="P220">
        <v>6266</v>
      </c>
      <c r="Q220">
        <v>5985</v>
      </c>
    </row>
    <row r="221" spans="1:17" x14ac:dyDescent="0.25">
      <c r="A221" s="62">
        <v>-364529</v>
      </c>
      <c r="B221" s="62">
        <v>-6398</v>
      </c>
      <c r="C221" t="s">
        <v>365</v>
      </c>
      <c r="D221" s="63" t="s">
        <v>6</v>
      </c>
      <c r="E221">
        <v>5950</v>
      </c>
      <c r="F221">
        <v>5889</v>
      </c>
      <c r="G221">
        <v>5897</v>
      </c>
      <c r="H221">
        <v>5570</v>
      </c>
      <c r="I221">
        <v>4984</v>
      </c>
      <c r="J221">
        <v>4556</v>
      </c>
      <c r="K221">
        <v>4805</v>
      </c>
      <c r="L221">
        <v>5620</v>
      </c>
      <c r="M221">
        <v>6142</v>
      </c>
      <c r="N221">
        <v>6317</v>
      </c>
      <c r="O221">
        <v>6423</v>
      </c>
      <c r="P221">
        <v>5979</v>
      </c>
      <c r="Q221">
        <v>5678</v>
      </c>
    </row>
    <row r="222" spans="1:17" x14ac:dyDescent="0.25">
      <c r="A222" s="62">
        <v>-377473</v>
      </c>
      <c r="B222" s="62">
        <v>-6341</v>
      </c>
      <c r="C222" t="s">
        <v>366</v>
      </c>
      <c r="D222" s="63" t="s">
        <v>6</v>
      </c>
      <c r="E222">
        <v>6043</v>
      </c>
      <c r="F222">
        <v>6089</v>
      </c>
      <c r="G222">
        <v>6066</v>
      </c>
      <c r="H222">
        <v>5735</v>
      </c>
      <c r="I222">
        <v>5299</v>
      </c>
      <c r="J222">
        <v>4931</v>
      </c>
      <c r="K222">
        <v>5294</v>
      </c>
      <c r="L222">
        <v>6029</v>
      </c>
      <c r="M222">
        <v>6541</v>
      </c>
      <c r="N222">
        <v>6596</v>
      </c>
      <c r="O222">
        <v>6573</v>
      </c>
      <c r="P222">
        <v>6198</v>
      </c>
      <c r="Q222">
        <v>5950</v>
      </c>
    </row>
    <row r="223" spans="1:17" x14ac:dyDescent="0.25">
      <c r="A223" s="62">
        <v>-374946</v>
      </c>
      <c r="B223" s="62">
        <v>-63423</v>
      </c>
      <c r="C223" t="s">
        <v>367</v>
      </c>
      <c r="D223" s="63" t="s">
        <v>6</v>
      </c>
      <c r="E223">
        <v>6180</v>
      </c>
      <c r="F223">
        <v>6237</v>
      </c>
      <c r="G223">
        <v>6160</v>
      </c>
      <c r="H223">
        <v>5857</v>
      </c>
      <c r="I223">
        <v>5351</v>
      </c>
      <c r="J223">
        <v>4951</v>
      </c>
      <c r="K223">
        <v>5224</v>
      </c>
      <c r="L223">
        <v>5915</v>
      </c>
      <c r="M223">
        <v>6475</v>
      </c>
      <c r="N223">
        <v>6637</v>
      </c>
      <c r="O223">
        <v>6653</v>
      </c>
      <c r="P223">
        <v>6276</v>
      </c>
      <c r="Q223">
        <v>5993</v>
      </c>
    </row>
    <row r="224" spans="1:17" x14ac:dyDescent="0.25">
      <c r="A224" s="62">
        <v>-375351</v>
      </c>
      <c r="B224" s="62">
        <v>-61856</v>
      </c>
      <c r="C224" t="s">
        <v>368</v>
      </c>
      <c r="D224" s="63" t="s">
        <v>6</v>
      </c>
      <c r="E224">
        <v>6094</v>
      </c>
      <c r="F224">
        <v>6127</v>
      </c>
      <c r="G224">
        <v>6106</v>
      </c>
      <c r="H224">
        <v>5866</v>
      </c>
      <c r="I224">
        <v>5345</v>
      </c>
      <c r="J224">
        <v>4972</v>
      </c>
      <c r="K224">
        <v>5261</v>
      </c>
      <c r="L224">
        <v>5947</v>
      </c>
      <c r="M224">
        <v>6501</v>
      </c>
      <c r="N224">
        <v>6603</v>
      </c>
      <c r="O224">
        <v>6609</v>
      </c>
      <c r="P224">
        <v>6200</v>
      </c>
      <c r="Q224">
        <v>5970</v>
      </c>
    </row>
    <row r="225" spans="1:17" x14ac:dyDescent="0.25">
      <c r="A225" s="62">
        <v>-373549</v>
      </c>
      <c r="B225" s="62">
        <v>-62122</v>
      </c>
      <c r="C225" t="s">
        <v>369</v>
      </c>
      <c r="D225" s="63" t="s">
        <v>6</v>
      </c>
      <c r="E225">
        <v>6100</v>
      </c>
      <c r="F225">
        <v>6126</v>
      </c>
      <c r="G225">
        <v>6028</v>
      </c>
      <c r="H225">
        <v>5852</v>
      </c>
      <c r="I225">
        <v>5307</v>
      </c>
      <c r="J225">
        <v>4887</v>
      </c>
      <c r="K225">
        <v>5218</v>
      </c>
      <c r="L225">
        <v>5951</v>
      </c>
      <c r="M225">
        <v>6484</v>
      </c>
      <c r="N225">
        <v>6593</v>
      </c>
      <c r="O225">
        <v>6601</v>
      </c>
      <c r="P225">
        <v>6193</v>
      </c>
      <c r="Q225">
        <v>5945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zoomScaleNormal="100" workbookViewId="0">
      <selection activeCell="N9" sqref="N9"/>
    </sheetView>
  </sheetViews>
  <sheetFormatPr defaultRowHeight="15" x14ac:dyDescent="0.25"/>
  <cols>
    <col min="1" max="1" width="19.140625" bestFit="1" customWidth="1"/>
    <col min="2" max="2" width="12.5703125" bestFit="1" customWidth="1"/>
    <col min="3" max="3" width="12.28515625" bestFit="1" customWidth="1"/>
    <col min="4" max="4" width="12" bestFit="1" customWidth="1"/>
    <col min="5" max="5" width="11.7109375" bestFit="1" customWidth="1"/>
    <col min="6" max="6" width="16.85546875" customWidth="1"/>
    <col min="7" max="7" width="5.140625" bestFit="1" customWidth="1"/>
    <col min="8" max="8" width="4.5703125" bestFit="1" customWidth="1"/>
    <col min="9" max="9" width="16.7109375" customWidth="1"/>
    <col min="10" max="10" width="8.140625" bestFit="1" customWidth="1"/>
  </cols>
  <sheetData>
    <row r="1" spans="1:12" x14ac:dyDescent="0.25">
      <c r="A1" s="51" t="s">
        <v>133</v>
      </c>
      <c r="B1" s="51" t="s">
        <v>134</v>
      </c>
      <c r="C1" s="51" t="s">
        <v>135</v>
      </c>
      <c r="D1" s="51" t="s">
        <v>136</v>
      </c>
      <c r="E1" s="51" t="s">
        <v>137</v>
      </c>
      <c r="F1" s="51" t="s">
        <v>92</v>
      </c>
      <c r="G1" s="51" t="s">
        <v>68</v>
      </c>
      <c r="H1" s="51" t="s">
        <v>67</v>
      </c>
      <c r="I1" s="51" t="s">
        <v>138</v>
      </c>
      <c r="J1" s="51" t="s">
        <v>132</v>
      </c>
      <c r="K1" s="51" t="s">
        <v>141</v>
      </c>
      <c r="L1" s="51" t="s">
        <v>142</v>
      </c>
    </row>
    <row r="2" spans="1:12" ht="16.5" x14ac:dyDescent="0.3">
      <c r="A2" s="53">
        <f>Dados!$N$1</f>
        <v>5.85</v>
      </c>
      <c r="B2" s="54">
        <f>Dados!$J$1</f>
        <v>13</v>
      </c>
      <c r="C2" s="54">
        <f>Dados!$G$1</f>
        <v>450</v>
      </c>
      <c r="D2" s="54">
        <f>Dados!$B$2</f>
        <v>1</v>
      </c>
      <c r="E2" s="53">
        <f>Dados!$B$1</f>
        <v>5</v>
      </c>
      <c r="F2" s="55">
        <f>Dados!$B$15</f>
        <v>29058.826499999999</v>
      </c>
      <c r="G2" s="56">
        <v>0.2</v>
      </c>
      <c r="H2" s="56">
        <f>IRR(Dados!N15:O40)</f>
        <v>0.25669250757656847</v>
      </c>
      <c r="I2" s="55">
        <f>NPV($G$2,Dados!$N$16:$O$40)+Dados!N15</f>
        <v>9693.807740658729</v>
      </c>
      <c r="J2" s="53">
        <f>Dados!$S$19</f>
        <v>4.3203908353154263</v>
      </c>
      <c r="K2" s="57">
        <f>Dados!$P$5</f>
        <v>700</v>
      </c>
    </row>
    <row r="6" spans="1:12" x14ac:dyDescent="0.25">
      <c r="I6" s="5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Proposta Comercial</vt:lpstr>
      <vt:lpstr>Dados</vt:lpstr>
      <vt:lpstr>Planilha1</vt:lpstr>
      <vt:lpstr>Mala Direta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Gutemberg Nóbrega</dc:creator>
  <cp:keywords>SolveEnergy</cp:keywords>
  <cp:lastModifiedBy>cineide cavalcante</cp:lastModifiedBy>
  <cp:lastPrinted>2021-02-06T20:39:37Z</cp:lastPrinted>
  <dcterms:created xsi:type="dcterms:W3CDTF">2021-02-04T21:48:35Z</dcterms:created>
  <dcterms:modified xsi:type="dcterms:W3CDTF">2021-10-15T22:58:22Z</dcterms:modified>
</cp:coreProperties>
</file>